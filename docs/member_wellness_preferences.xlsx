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llness preferences" sheetId="1" state="visible" r:id="rId3"/>
    <sheet name="Last week attendance" sheetId="2" state="visible" r:id="rId4"/>
    <sheet name="Prompt input" sheetId="3" state="visible" r:id="rId5"/>
    <sheet name="Prompt template" sheetId="4" state="visible" r:id="rId6"/>
    <sheet name="Prompt template (optimized)" sheetId="5" state="visible" r:id="rId7"/>
    <sheet name="Raw IDs" sheetId="6" state="visible" r:id="rId8"/>
    <sheet name="Member goals" sheetId="7" state="visible" r:id="rId9"/>
    <sheet name="Options" sheetId="8" state="visible" r:id="rId10"/>
    <sheet name="ID key"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<sst xmlns="http://schemas.openxmlformats.org/spreadsheetml/2006/main" count="366" uniqueCount="217">
  <si>
    <t xml:space="preserve">Test ID</t>
  </si>
  <si>
    <t xml:space="preserve">Member name</t>
  </si>
  <si>
    <t xml:space="preserve">Goal used for test</t>
  </si>
  <si>
    <t xml:space="preserve">Activity frequency</t>
  </si>
  <si>
    <t xml:space="preserve">Time exercising</t>
  </si>
  <si>
    <t xml:space="preserve">Smoking</t>
  </si>
  <si>
    <t xml:space="preserve">Alcohol</t>
  </si>
  <si>
    <t xml:space="preserve">Where they work</t>
  </si>
  <si>
    <t xml:space="preserve">Sitting hours</t>
  </si>
  <si>
    <t xml:space="preserve">Stress level</t>
  </si>
  <si>
    <t xml:space="preserve">Sleep hours</t>
  </si>
  <si>
    <t xml:space="preserve">Diet</t>
  </si>
  <si>
    <t xml:space="preserve">Number of meals</t>
  </si>
  <si>
    <t xml:space="preserve">Meals at home</t>
  </si>
  <si>
    <t xml:space="preserve">Takeout</t>
  </si>
  <si>
    <t xml:space="preserve">Weak, fatigued or sluggish</t>
  </si>
  <si>
    <t xml:space="preserve">Digestive discomforts</t>
  </si>
  <si>
    <t xml:space="preserve">Calorie awareness</t>
  </si>
  <si>
    <t xml:space="preserve">Nutrition and exercise</t>
  </si>
  <si>
    <t xml:space="preserve">Look and feel</t>
  </si>
  <si>
    <t xml:space="preserve">Goal seriousness</t>
  </si>
  <si>
    <t xml:space="preserve">Profile last updated</t>
  </si>
  <si>
    <t xml:space="preserve">Notes</t>
  </si>
  <si>
    <t xml:space="preserve">Labels come from the Options tab using the IDs on the Raw IDs tab. Names come from the ID key tab.</t>
  </si>
  <si>
    <t xml:space="preserve">Not answered = the database value is empty (NULL). Not set (0) = the database holds 0, which matches no option.</t>
  </si>
  <si>
    <t xml:space="preserve">Goals, activities, health conditions and last week's attendance are not in member_details, so they are not in this workbook yet.</t>
  </si>
  <si>
    <t xml:space="preserve">Medication and medical treatment were left out on purpose (health data).</t>
  </si>
  <si>
    <t xml:space="preserve">Yellow goal cells have no goal yet because the goal rows were not available. See the Member goals tab.</t>
  </si>
  <si>
    <t xml:space="preserve">Sitting hours and Number of meals are numbers stored as entered. Their unit is not confirmed in the data.</t>
  </si>
  <si>
    <t xml:space="preserve">This workbook contains real member names. Do not paste names into model prompts. Use the Test ID instead.</t>
  </si>
  <si>
    <t xml:space="preserve">The Last week attendance tab holds made-up sample data for testing, not real check-ins.</t>
  </si>
  <si>
    <t xml:space="preserve">Cardio</t>
  </si>
  <si>
    <t xml:space="preserve">Strength</t>
  </si>
  <si>
    <t xml:space="preserve">Shape</t>
  </si>
  <si>
    <t xml:space="preserve">Strength &amp; Conditioning</t>
  </si>
  <si>
    <t xml:space="preserve">Wellness</t>
  </si>
  <si>
    <t xml:space="preserve">Red Light Therapy</t>
  </si>
  <si>
    <t xml:space="preserve">Classes (excl. Red Light)</t>
  </si>
  <si>
    <t xml:space="preserve">Within slot caps?</t>
  </si>
  <si>
    <t xml:space="preserve">Stated frequency</t>
  </si>
  <si>
    <t xml:space="preserve">Slot cap</t>
  </si>
  <si>
    <t xml:space="preserve">SAMPLE DATA: these attendance numbers are made up for testing. They are not real check-ins.</t>
  </si>
  <si>
    <t xml:space="preserve">Counts are sessions attended last week per category. Each member's total roughly follows their stated activity frequency. Red Light Therapy is recovery and is not counted in the class total.</t>
  </si>
  <si>
    <t xml:space="preserve">Slot caps come from the class catalog used by the planner (editable above). Blue = values you can change.</t>
  </si>
  <si>
    <t xml:space="preserve">Gender</t>
  </si>
  <si>
    <t xml:space="preserve">Age</t>
  </si>
  <si>
    <t xml:space="preserve">Fitness goal</t>
  </si>
  <si>
    <t xml:space="preserve">Current activities</t>
  </si>
  <si>
    <t xml:space="preserve">Exercise frequency</t>
  </si>
  <si>
    <t xml:space="preserve">Active</t>
  </si>
  <si>
    <t xml:space="preserve">Conditions</t>
  </si>
  <si>
    <t xml:space="preserve">Medications</t>
  </si>
  <si>
    <t xml:space="preserve">Smoker</t>
  </si>
  <si>
    <t xml:space="preserve">Alcohol consumption</t>
  </si>
  <si>
    <t xml:space="preserve">Medical treatment</t>
  </si>
  <si>
    <t xml:space="preserve">Full prompt (formula)</t>
  </si>
  <si>
    <t xml:space="preserve">Est. input tokens (characters / 4)</t>
  </si>
  <si>
    <t xml:space="preserve">Optimized prompt (formula)</t>
  </si>
  <si>
    <t xml:space="preserve">Optimized est. input tokens (characters / 4)</t>
  </si>
  <si>
    <t xml:space="preserve">Tokens saved vs original (estimate)</t>
  </si>
  <si>
    <t xml:space="preserve">Female</t>
  </si>
  <si>
    <t xml:space="preserve">Male</t>
  </si>
  <si>
    <t xml:space="preserve">Yellow cells are not available in the data supplied yet (current activities, conditions, medications, medical treatment). Leave them blank and the prompt leaves those lines out.</t>
  </si>
  <si>
    <t xml:space="preserve">Orange cells (gender, age) are RANDOM sample values for testing, not the real members' details, and are not inferred from names. Real member names are not in the prompt text. Token columns are rough estimates, not real model usage.</t>
  </si>
  <si>
    <t xml:space="preserve">Fixed text at the top of every prompt (copied from the colleague's prompt)</t>
  </si>
  <si>
    <t xml:space="preserve">[INSTRUCTIONS]
You are a seasoned fitness consultant. You will take the following member profile and suggest their booking session goals for the next coming week and suggest how many sessions from the [CONTEXT] they need to book in order to progress in their stated fitness goal. Note that some Classes have max 1/2 sessions slots per week.
[CONTEXT]
Cardio Sessions (1 slot/week) - 50min Session. feature powerful exercise sequences performed at speed and combining bodyweight, freestanding equipment and machines. Work more, rest less, pushing your calorie burn to the max.
Strength (2 slot/week) - 50min Session. Utilizes resistance training, time under tension and functional drop sets to develop your muscle density and mobility. Perform controlled exercises and focus on technique and expanding your range of movement.
Shape (2 slot/week) - 50min Session. Combines cardio and strength training through a mix of controlled, consistent high tempo movements. Build muscular endurance, reduce body imbalance and burn calories, while also lighting up your cardiovascular system.
Strength &amp; Conditioning (2 slot/week) - 50min Session. Dynamic sequences combining power, endurance, and functional performance. Expect full body movement patterns and conditioning intervals that challenge your strength, coordination, and stamina while improving overall physical capacity.
Wellness (2 slot/week) - 30min/50min Sessions. Designed to enhance mobility, flexibility, and overall wellbeing. Slow the pace, reconnect with your body, and restore balance through mindful movement and guided mobility work.
Red Light Therapy (5 slots/week) - 10min Sessions. Boost recovery, improve skin health, and reduce inflammation with our red light therapy sessions. A quick and effective way to help your body recharge and heal faster. Pre or post workout has equal benefits.</t>
  </si>
  <si>
    <t xml:space="preserve">Output format: not included. It will be decided by us, so the prompt ends after the last week's sessions.</t>
  </si>
  <si>
    <t xml:space="preserve">Fixed text at the start of every optimized prompt</t>
  </si>
  <si>
    <t xml:space="preserve">You are a fitness consultant. Plan the member's class bookings for next week so they progress toward their stated goal.
Weekly slot caps (never exceed): Cardio 1, Strength 2, Shape 2, Strength &amp; Conditioning 2, Wellness 2, Red Light Therapy 5.
Classes:
- Cardio: high-intensity intervals (bodyweight, equipment, machines); maximum calorie burn.
- Strength: resistance training and time under tension; muscle density, mobility, technique.
- Shape: high-tempo cardio and strength mix; muscular endurance, body balance, calorie burn.
- Strength &amp; Conditioning: power, endurance and functional full-body conditioning; stamina, coordination.
- Wellness: mobility, flexibility and mindful recovery.
- Red Light Therapy: 10-minute recovery session, before or after a workout; recovery, skin, inflammation.
Rules:
- Use whole numbers from 0 up to each cap.
- Use last week's sessions as the baseline and progress toward the goal without a sudden jump.
- Keep the total realistic for the member's exercise frequency, health and recovery.</t>
  </si>
  <si>
    <t xml:space="preserve">Fixed text at the end of every optimized prompt (the output format: ours to decide, so edit it here)</t>
  </si>
  <si>
    <t xml:space="preserve">Answer with JSON only, no other text: {"Cardio":#,"Strength":#,"Shape":#,"Strength &amp; Conditioning":#,"Wellness":#,"Red Light Therapy":#}</t>
  </si>
  <si>
    <t xml:space="preserve">Empty or Not provided fields are left out of the member block, so they cost no tokens.</t>
  </si>
  <si>
    <t xml:space="preserve">fitness_frequency_id</t>
  </si>
  <si>
    <t xml:space="preserve">fitness_time_id</t>
  </si>
  <si>
    <t xml:space="preserve">smoke_id</t>
  </si>
  <si>
    <t xml:space="preserve">alcohol_id</t>
  </si>
  <si>
    <t xml:space="preserve">lifestyle_id</t>
  </si>
  <si>
    <t xml:space="preserve">sitting_hours</t>
  </si>
  <si>
    <t xml:space="preserve">stress_level_id</t>
  </si>
  <si>
    <t xml:space="preserve">sleep_hours_id</t>
  </si>
  <si>
    <t xml:space="preserve">diet_nutrition_id</t>
  </si>
  <si>
    <t xml:space="preserve">no_of_meals</t>
  </si>
  <si>
    <t xml:space="preserve">home_meals_id</t>
  </si>
  <si>
    <t xml:space="preserve">takeout_meals_id</t>
  </si>
  <si>
    <t xml:space="preserve">weak_fatigued_sluggish_id</t>
  </si>
  <si>
    <t xml:space="preserve">digestive_discomforts_id</t>
  </si>
  <si>
    <t xml:space="preserve">calorie_option_id</t>
  </si>
  <si>
    <t xml:space="preserve">nutrition_exercise_option_id</t>
  </si>
  <si>
    <t xml:space="preserve">look_feel_option_id</t>
  </si>
  <si>
    <t xml:space="preserve">fitness_goals_seriousness_id</t>
  </si>
  <si>
    <t xml:space="preserve">updated_date</t>
  </si>
  <si>
    <t xml:space="preserve">m1</t>
  </si>
  <si>
    <t xml:space="preserve">2025-07-18</t>
  </si>
  <si>
    <t xml:space="preserve">m2</t>
  </si>
  <si>
    <t xml:space="preserve">2025-07-20</t>
  </si>
  <si>
    <t xml:space="preserve">m3</t>
  </si>
  <si>
    <t xml:space="preserve">2025-07-24</t>
  </si>
  <si>
    <t xml:space="preserve">m4</t>
  </si>
  <si>
    <t xml:space="preserve">2025-07-27</t>
  </si>
  <si>
    <t xml:space="preserve">m5</t>
  </si>
  <si>
    <t xml:space="preserve">m6</t>
  </si>
  <si>
    <t xml:space="preserve">m7</t>
  </si>
  <si>
    <t xml:space="preserve">2025-07-28</t>
  </si>
  <si>
    <t xml:space="preserve">m8</t>
  </si>
  <si>
    <t xml:space="preserve">2025-07-29</t>
  </si>
  <si>
    <t xml:space="preserve">m9</t>
  </si>
  <si>
    <t xml:space="preserve">2025-07-30</t>
  </si>
  <si>
    <t xml:space="preserve">m10</t>
  </si>
  <si>
    <t xml:space="preserve">2025-08-01</t>
  </si>
  <si>
    <t xml:space="preserve">m11</t>
  </si>
  <si>
    <t xml:space="preserve">2025-08-03</t>
  </si>
  <si>
    <t xml:space="preserve">m12</t>
  </si>
  <si>
    <t xml:space="preserve">Raw database values from member_details export (blank = NULL). Blue = input data.</t>
  </si>
  <si>
    <t xml:space="preserve">DB member_id</t>
  </si>
  <si>
    <t xml:space="preserve">DB row id</t>
  </si>
  <si>
    <t xml:space="preserve">fitness_goal_id</t>
  </si>
  <si>
    <t xml:space="preserve">Goal</t>
  </si>
  <si>
    <t xml:space="preserve">Pick #</t>
  </si>
  <si>
    <t xml:space="preserve">Lookup key</t>
  </si>
  <si>
    <t xml:space="preserve">Source</t>
  </si>
  <si>
    <t xml:space="preserve">Database (screenshot)</t>
  </si>
  <si>
    <t xml:space="preserve">Goal used for test = the member's first pick (Pick # 1, lowest DB row id), because the planner takes one goal. Change Pick # order to use a different goal.</t>
  </si>
  <si>
    <t xml:space="preserve">Database rows were read from a phpMyAdmin screenshot of member_fitness_goals (first page only, sorted by member_id).</t>
  </si>
  <si>
    <t xml:space="preserve">No goal rows were available for DB members 2461, 2469, 2472, 2473 (m9, m10, m11, m12). Their goal shows as Not provided. Add their rows from member_fitness_goals when you have them.</t>
  </si>
  <si>
    <t xml:space="preserve">Member 2451 (m8) ends at row 745, the last row on the page, so more real goals may exist on the next page.</t>
  </si>
  <si>
    <t xml:space="preserve">Field</t>
  </si>
  <si>
    <t xml:space="preserve">ID</t>
  </si>
  <si>
    <t xml:space="preserve">Label</t>
  </si>
  <si>
    <t xml:space="preserve">goal</t>
  </si>
  <si>
    <t xml:space="preserve">Weight loss</t>
  </si>
  <si>
    <t xml:space="preserve">Lose fat (inches)</t>
  </si>
  <si>
    <t xml:space="preserve">Muscle tone</t>
  </si>
  <si>
    <t xml:space="preserve">Build strength</t>
  </si>
  <si>
    <t xml:space="preserve">Improve flexibility</t>
  </si>
  <si>
    <t xml:space="preserve">Improve cardio performance</t>
  </si>
  <si>
    <t xml:space="preserve">Improve stamina</t>
  </si>
  <si>
    <t xml:space="preserve">Gain weight/muscle</t>
  </si>
  <si>
    <t xml:space="preserve">Improve overall health</t>
  </si>
  <si>
    <t xml:space="preserve">Boost energy</t>
  </si>
  <si>
    <t xml:space="preserve">freq</t>
  </si>
  <si>
    <t xml:space="preserve">1-2 times / week</t>
  </si>
  <si>
    <t xml:space="preserve">3-4 times / week</t>
  </si>
  <si>
    <t xml:space="preserve">5-6 times / week</t>
  </si>
  <si>
    <t xml:space="preserve">Daily</t>
  </si>
  <si>
    <t xml:space="preserve">Never</t>
  </si>
  <si>
    <t xml:space="preserve">time</t>
  </si>
  <si>
    <t xml:space="preserve">Less than a year</t>
  </si>
  <si>
    <t xml:space="preserve">1-3 years</t>
  </si>
  <si>
    <t xml:space="preserve">3+ years</t>
  </si>
  <si>
    <t xml:space="preserve">smoke</t>
  </si>
  <si>
    <t xml:space="preserve">Yes</t>
  </si>
  <si>
    <t xml:space="preserve">No</t>
  </si>
  <si>
    <t xml:space="preserve">Social / Occasional</t>
  </si>
  <si>
    <t xml:space="preserve">alcohol</t>
  </si>
  <si>
    <t xml:space="preserve">Moderately</t>
  </si>
  <si>
    <t xml:space="preserve">Occasionally</t>
  </si>
  <si>
    <t xml:space="preserve">work</t>
  </si>
  <si>
    <t xml:space="preserve">Home</t>
  </si>
  <si>
    <t xml:space="preserve">Office</t>
  </si>
  <si>
    <t xml:space="preserve">Both</t>
  </si>
  <si>
    <t xml:space="preserve">I don't work</t>
  </si>
  <si>
    <t xml:space="preserve">stress</t>
  </si>
  <si>
    <t xml:space="preserve">High</t>
  </si>
  <si>
    <t xml:space="preserve">Manageable</t>
  </si>
  <si>
    <t xml:space="preserve">Low</t>
  </si>
  <si>
    <t xml:space="preserve">sleep</t>
  </si>
  <si>
    <t xml:space="preserve">6 or less</t>
  </si>
  <si>
    <t xml:space="preserve">7 or more</t>
  </si>
  <si>
    <t xml:space="preserve">diet</t>
  </si>
  <si>
    <t xml:space="preserve">Healthy</t>
  </si>
  <si>
    <t xml:space="preserve">Balanced</t>
  </si>
  <si>
    <t xml:space="preserve">Unhealthy</t>
  </si>
  <si>
    <t xml:space="preserve">home</t>
  </si>
  <si>
    <t xml:space="preserve">All meals</t>
  </si>
  <si>
    <t xml:space="preserve">Most meals</t>
  </si>
  <si>
    <t xml:space="preserve">Some meals</t>
  </si>
  <si>
    <t xml:space="preserve">No meals</t>
  </si>
  <si>
    <t xml:space="preserve">takeout</t>
  </si>
  <si>
    <t xml:space="preserve">Several times a week</t>
  </si>
  <si>
    <t xml:space="preserve">Once a week</t>
  </si>
  <si>
    <t xml:space="preserve">yesno</t>
  </si>
  <si>
    <t xml:space="preserve">seriousness</t>
  </si>
  <si>
    <t xml:space="preserve">Not Really</t>
  </si>
  <si>
    <t xml:space="preserve">1</t>
  </si>
  <si>
    <t xml:space="preserve">2</t>
  </si>
  <si>
    <t xml:space="preserve">3</t>
  </si>
  <si>
    <t xml:space="preserve">4</t>
  </si>
  <si>
    <t xml:space="preserve">5</t>
  </si>
  <si>
    <t xml:space="preserve">Motivated</t>
  </si>
  <si>
    <t xml:space="preserve">Source: option lists from programs.txt supplied by the user. ID in the database = position in the list (1 = first).</t>
  </si>
  <si>
    <t xml:space="preserve">First name</t>
  </si>
  <si>
    <t xml:space="preserve">Last name</t>
  </si>
  <si>
    <t xml:space="preserve">Levent</t>
  </si>
  <si>
    <t xml:space="preserve">Soydaner</t>
  </si>
  <si>
    <t xml:space="preserve">Veronika</t>
  </si>
  <si>
    <t xml:space="preserve">Masarskaya</t>
  </si>
  <si>
    <t xml:space="preserve">Elen</t>
  </si>
  <si>
    <t xml:space="preserve">Kost</t>
  </si>
  <si>
    <t xml:space="preserve">Emma</t>
  </si>
  <si>
    <t xml:space="preserve">Arlemark</t>
  </si>
  <si>
    <t xml:space="preserve">Ria</t>
  </si>
  <si>
    <t xml:space="preserve">Juma</t>
  </si>
  <si>
    <t xml:space="preserve">Maria</t>
  </si>
  <si>
    <t xml:space="preserve">Costanzo</t>
  </si>
  <si>
    <t xml:space="preserve">Vinay</t>
  </si>
  <si>
    <t xml:space="preserve">Parmar</t>
  </si>
  <si>
    <t xml:space="preserve">Ruksana</t>
  </si>
  <si>
    <t xml:space="preserve">Hussain</t>
  </si>
  <si>
    <t xml:space="preserve">Asif</t>
  </si>
  <si>
    <t xml:space="preserve">Khokhar</t>
  </si>
  <si>
    <t xml:space="preserve">Sadaf</t>
  </si>
  <si>
    <t xml:space="preserve">Hameed</t>
  </si>
  <si>
    <t xml:space="preserve">Maryna</t>
  </si>
  <si>
    <t xml:space="preserve">Tykhonenko</t>
  </si>
  <si>
    <t xml:space="preserve">Ozlem</t>
  </si>
  <si>
    <t xml:space="preserve">Koroglu</t>
  </si>
  <si>
    <t xml:space="preserve">Source: members table (id, firstname, lastname), from the phpMyAdmin screenshot supplied by the user. Contains real member names: keep private.</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</si>
</sst>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
      <sz val="10"/>
      <color rgb="FF0000FF"/>
      <name val="Arial"/>
      <family val="0"/>
      <charset val="1"/>
    </font>
    <font>
      <b val="true"/>
      <sz val="10"/>
      <color rgb="FFC00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CE4D6"/>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8" fillId="3" borderId="1" xfId="0" applyFont="true" applyBorder="true" applyAlignment="true" applyProtection="false">
      <alignment horizontal="left" vertical="top" textRotation="0" wrapText="false" indent="0" shrinkToFit="false"/>
      <protection locked="true" hidden="false"/>
    </xf>
    <xf numFmtId="164" fontId="8" fillId="3"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i val="1"/>
        <color rgb="FF999999"/>
        <sz val="1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22" min="3" style="0" width="17"/>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ustomFormat="false" ht="23.85" hidden="false" customHeight="false" outlineLevel="0" collapsed="false">
      <c r="A2" s="2" t="str">
        <f aca="false">'Raw IDs'!A2</f>
        <v>m1</v>
      </c>
      <c r="B2" s="3" t="str">
        <f aca="false">INDEX('ID key'!$C$2:$C$13,MATCH($A2,'ID key'!$A$2:$A$13,0))&amp;" "&amp;INDEX('ID key'!$D$2:$D$13,MATCH($A2,'ID key'!$A$2:$A$13,0))</f>
        <v>Levent Soydaner</v>
      </c>
      <c r="C2" s="2" t="str">
        <f aca="false">IFERROR(INDEX('Member goals'!$E$2:$E$26,MATCH($A2&amp;"|1",'Member goals'!$G$2:$G$26,0)),"Not provided")</f>
        <v>Improve cardio performance</v>
      </c>
      <c r="D2" s="2" t="str">
        <f aca="false">IF('Raw IDs'!B2="","Not answered",IFERROR(INDEX(Options!$C$2:$C$55,MATCH("freq|"&amp;'Raw IDs'!B2,Options!$D$2:$D$55,0)),"Not set ("&amp;'Raw IDs'!B2&amp;")"))</f>
        <v>3-4 times / week</v>
      </c>
      <c r="E2" s="2" t="str">
        <f aca="false">IF('Raw IDs'!C2="","Not answered",IFERROR(INDEX(Options!$C$2:$C$55,MATCH("time|"&amp;'Raw IDs'!C2,Options!$D$2:$D$55,0)),"Not set ("&amp;'Raw IDs'!C2&amp;")"))</f>
        <v>1-3 years</v>
      </c>
      <c r="F2" s="2" t="str">
        <f aca="false">IF('Raw IDs'!D2="","Not answered",IFERROR(INDEX(Options!$C$2:$C$55,MATCH("smoke|"&amp;'Raw IDs'!D2,Options!$D$2:$D$55,0)),"Not set ("&amp;'Raw IDs'!D2&amp;")"))</f>
        <v>No</v>
      </c>
      <c r="G2" s="2" t="str">
        <f aca="false">IF('Raw IDs'!E2="","Not answered",IFERROR(INDEX(Options!$C$2:$C$55,MATCH("alcohol|"&amp;'Raw IDs'!E2,Options!$D$2:$D$55,0)),"Not set ("&amp;'Raw IDs'!E2&amp;")"))</f>
        <v>Occasionally</v>
      </c>
      <c r="H2" s="2" t="str">
        <f aca="false">IF('Raw IDs'!F2="","Not answered",IFERROR(INDEX(Options!$C$2:$C$55,MATCH("work|"&amp;'Raw IDs'!F2,Options!$D$2:$D$55,0)),"Not set ("&amp;'Raw IDs'!F2&amp;")"))</f>
        <v>Not set (0)</v>
      </c>
      <c r="I2" s="2" t="str">
        <f aca="false">IF('Raw IDs'!G2="","Not answered",'Raw IDs'!G2)</f>
        <v>Not answered</v>
      </c>
      <c r="J2" s="2" t="str">
        <f aca="false">IF('Raw IDs'!H2="","Not answered",IFERROR(INDEX(Options!$C$2:$C$55,MATCH("stress|"&amp;'Raw IDs'!H2,Options!$D$2:$D$55,0)),"Not set ("&amp;'Raw IDs'!H2&amp;")"))</f>
        <v>Manageable</v>
      </c>
      <c r="K2" s="2" t="str">
        <f aca="false">IF('Raw IDs'!I2="","Not answered",IFERROR(INDEX(Options!$C$2:$C$55,MATCH("sleep|"&amp;'Raw IDs'!I2,Options!$D$2:$D$55,0)),"Not set ("&amp;'Raw IDs'!I2&amp;")"))</f>
        <v>7 or more</v>
      </c>
      <c r="L2" s="2" t="str">
        <f aca="false">IF('Raw IDs'!J2="","Not answered",IFERROR(INDEX(Options!$C$2:$C$55,MATCH("diet|"&amp;'Raw IDs'!J2,Options!$D$2:$D$55,0)),"Not set ("&amp;'Raw IDs'!J2&amp;")"))</f>
        <v>Balanced</v>
      </c>
      <c r="M2" s="2" t="str">
        <f aca="false">IF('Raw IDs'!K2="","Not answered",IF('Raw IDs'!K2=0,"Not set (0)",'Raw IDs'!K2))</f>
        <v>Not set (0)</v>
      </c>
      <c r="N2" s="2" t="str">
        <f aca="false">IF('Raw IDs'!L2="","Not answered",IFERROR(INDEX(Options!$C$2:$C$55,MATCH("home|"&amp;'Raw IDs'!L2,Options!$D$2:$D$55,0)),"Not set ("&amp;'Raw IDs'!L2&amp;")"))</f>
        <v>Not answered</v>
      </c>
      <c r="O2" s="2" t="str">
        <f aca="false">IF('Raw IDs'!M2="","Not answered",IFERROR(INDEX(Options!$C$2:$C$55,MATCH("takeout|"&amp;'Raw IDs'!M2,Options!$D$2:$D$55,0)),"Not set ("&amp;'Raw IDs'!M2&amp;")"))</f>
        <v>Not answered</v>
      </c>
      <c r="P2" s="2" t="str">
        <f aca="false">IF('Raw IDs'!N2="","Not answered",IFERROR(INDEX(Options!$C$2:$C$55,MATCH("yesno|"&amp;'Raw IDs'!N2,Options!$D$2:$D$55,0)),"Not set ("&amp;'Raw IDs'!N2&amp;")"))</f>
        <v>Yes</v>
      </c>
      <c r="Q2" s="2" t="str">
        <f aca="false">IF('Raw IDs'!O2="","Not answered",IFERROR(INDEX(Options!$C$2:$C$55,MATCH("yesno|"&amp;'Raw IDs'!O2,Options!$D$2:$D$55,0)),"Not set ("&amp;'Raw IDs'!O2&amp;")"))</f>
        <v>Yes</v>
      </c>
      <c r="R2" s="2" t="str">
        <f aca="false">IF('Raw IDs'!P2="","Not answered",IFERROR(INDEX(Options!$C$2:$C$55,MATCH("yesno|"&amp;'Raw IDs'!P2,Options!$D$2:$D$55,0)),"Not set ("&amp;'Raw IDs'!P2&amp;")"))</f>
        <v>Yes</v>
      </c>
      <c r="S2" s="2" t="str">
        <f aca="false">IF('Raw IDs'!Q2="","Not answered",IFERROR(INDEX(Options!$C$2:$C$55,MATCH("yesno|"&amp;'Raw IDs'!Q2,Options!$D$2:$D$55,0)),"Not set ("&amp;'Raw IDs'!Q2&amp;")"))</f>
        <v>Yes</v>
      </c>
      <c r="T2" s="2" t="str">
        <f aca="false">IF('Raw IDs'!R2="","Not answered",IFERROR(INDEX(Options!$C$2:$C$55,MATCH("yesno|"&amp;'Raw IDs'!R2,Options!$D$2:$D$55,0)),"Not set ("&amp;'Raw IDs'!R2&amp;")"))</f>
        <v>Yes</v>
      </c>
      <c r="U2" s="2" t="str">
        <f aca="false">IF('Raw IDs'!S2="","Not answered",IFERROR(INDEX(Options!$C$2:$C$55,MATCH("seriousness|"&amp;'Raw IDs'!S2,Options!$D$2:$D$55,0)),"Not set ("&amp;'Raw IDs'!S2&amp;")"))</f>
        <v>5</v>
      </c>
      <c r="V2" s="2" t="str">
        <f aca="false">'Raw IDs'!T2</f>
        <v>2025-07-18</v>
      </c>
    </row>
    <row r="3" customFormat="false" ht="15" hidden="false" customHeight="false" outlineLevel="0" collapsed="false">
      <c r="A3" s="2" t="str">
        <f aca="false">'Raw IDs'!A3</f>
        <v>m2</v>
      </c>
      <c r="B3" s="3" t="str">
        <f aca="false">INDEX('ID key'!$C$2:$C$13,MATCH($A3,'ID key'!$A$2:$A$13,0))&amp;" "&amp;INDEX('ID key'!$D$2:$D$13,MATCH($A3,'ID key'!$A$2:$A$13,0))</f>
        <v>Veronika Masarskaya</v>
      </c>
      <c r="C3" s="2" t="str">
        <f aca="false">IFERROR(INDEX('Member goals'!$E$2:$E$26,MATCH($A3&amp;"|1",'Member goals'!$G$2:$G$26,0)),"Not provided")</f>
        <v>Weight loss</v>
      </c>
      <c r="D3" s="2" t="str">
        <f aca="false">IF('Raw IDs'!B3="","Not answered",IFERROR(INDEX(Options!$C$2:$C$55,MATCH("freq|"&amp;'Raw IDs'!B3,Options!$D$2:$D$55,0)),"Not set ("&amp;'Raw IDs'!B3&amp;")"))</f>
        <v>1-2 times / week</v>
      </c>
      <c r="E3" s="2" t="str">
        <f aca="false">IF('Raw IDs'!C3="","Not answered",IFERROR(INDEX(Options!$C$2:$C$55,MATCH("time|"&amp;'Raw IDs'!C3,Options!$D$2:$D$55,0)),"Not set ("&amp;'Raw IDs'!C3&amp;")"))</f>
        <v>3+ years</v>
      </c>
      <c r="F3" s="2" t="str">
        <f aca="false">IF('Raw IDs'!D3="","Not answered",IFERROR(INDEX(Options!$C$2:$C$55,MATCH("smoke|"&amp;'Raw IDs'!D3,Options!$D$2:$D$55,0)),"Not set ("&amp;'Raw IDs'!D3&amp;")"))</f>
        <v>No</v>
      </c>
      <c r="G3" s="2" t="str">
        <f aca="false">IF('Raw IDs'!E3="","Not answered",IFERROR(INDEX(Options!$C$2:$C$55,MATCH("alcohol|"&amp;'Raw IDs'!E3,Options!$D$2:$D$55,0)),"Not set ("&amp;'Raw IDs'!E3&amp;")"))</f>
        <v>Never</v>
      </c>
      <c r="H3" s="2" t="str">
        <f aca="false">IF('Raw IDs'!F3="","Not answered",IFERROR(INDEX(Options!$C$2:$C$55,MATCH("work|"&amp;'Raw IDs'!F3,Options!$D$2:$D$55,0)),"Not set ("&amp;'Raw IDs'!F3&amp;")"))</f>
        <v>Not set (0)</v>
      </c>
      <c r="I3" s="2" t="str">
        <f aca="false">IF('Raw IDs'!G3="","Not answered",'Raw IDs'!G3)</f>
        <v>Not answered</v>
      </c>
      <c r="J3" s="2" t="str">
        <f aca="false">IF('Raw IDs'!H3="","Not answered",IFERROR(INDEX(Options!$C$2:$C$55,MATCH("stress|"&amp;'Raw IDs'!H3,Options!$D$2:$D$55,0)),"Not set ("&amp;'Raw IDs'!H3&amp;")"))</f>
        <v>Manageable</v>
      </c>
      <c r="K3" s="2" t="str">
        <f aca="false">IF('Raw IDs'!I3="","Not answered",IFERROR(INDEX(Options!$C$2:$C$55,MATCH("sleep|"&amp;'Raw IDs'!I3,Options!$D$2:$D$55,0)),"Not set ("&amp;'Raw IDs'!I3&amp;")"))</f>
        <v>7 or more</v>
      </c>
      <c r="L3" s="2" t="str">
        <f aca="false">IF('Raw IDs'!J3="","Not answered",IFERROR(INDEX(Options!$C$2:$C$55,MATCH("diet|"&amp;'Raw IDs'!J3,Options!$D$2:$D$55,0)),"Not set ("&amp;'Raw IDs'!J3&amp;")"))</f>
        <v>Balanced</v>
      </c>
      <c r="M3" s="2" t="str">
        <f aca="false">IF('Raw IDs'!K3="","Not answered",IF('Raw IDs'!K3=0,"Not set (0)",'Raw IDs'!K3))</f>
        <v>Not set (0)</v>
      </c>
      <c r="N3" s="2" t="str">
        <f aca="false">IF('Raw IDs'!L3="","Not answered",IFERROR(INDEX(Options!$C$2:$C$55,MATCH("home|"&amp;'Raw IDs'!L3,Options!$D$2:$D$55,0)),"Not set ("&amp;'Raw IDs'!L3&amp;")"))</f>
        <v>Not answered</v>
      </c>
      <c r="O3" s="2" t="str">
        <f aca="false">IF('Raw IDs'!M3="","Not answered",IFERROR(INDEX(Options!$C$2:$C$55,MATCH("takeout|"&amp;'Raw IDs'!M3,Options!$D$2:$D$55,0)),"Not set ("&amp;'Raw IDs'!M3&amp;")"))</f>
        <v>Not answered</v>
      </c>
      <c r="P3" s="2" t="str">
        <f aca="false">IF('Raw IDs'!N3="","Not answered",IFERROR(INDEX(Options!$C$2:$C$55,MATCH("yesno|"&amp;'Raw IDs'!N3,Options!$D$2:$D$55,0)),"Not set ("&amp;'Raw IDs'!N3&amp;")"))</f>
        <v>No</v>
      </c>
      <c r="Q3" s="2" t="str">
        <f aca="false">IF('Raw IDs'!O3="","Not answered",IFERROR(INDEX(Options!$C$2:$C$55,MATCH("yesno|"&amp;'Raw IDs'!O3,Options!$D$2:$D$55,0)),"Not set ("&amp;'Raw IDs'!O3&amp;")"))</f>
        <v>No</v>
      </c>
      <c r="R3" s="2" t="str">
        <f aca="false">IF('Raw IDs'!P3="","Not answered",IFERROR(INDEX(Options!$C$2:$C$55,MATCH("yesno|"&amp;'Raw IDs'!P3,Options!$D$2:$D$55,0)),"Not set ("&amp;'Raw IDs'!P3&amp;")"))</f>
        <v>Yes</v>
      </c>
      <c r="S3" s="2" t="str">
        <f aca="false">IF('Raw IDs'!Q3="","Not answered",IFERROR(INDEX(Options!$C$2:$C$55,MATCH("yesno|"&amp;'Raw IDs'!Q3,Options!$D$2:$D$55,0)),"Not set ("&amp;'Raw IDs'!Q3&amp;")"))</f>
        <v>Yes</v>
      </c>
      <c r="T3" s="2" t="str">
        <f aca="false">IF('Raw IDs'!R3="","Not answered",IFERROR(INDEX(Options!$C$2:$C$55,MATCH("yesno|"&amp;'Raw IDs'!R3,Options!$D$2:$D$55,0)),"Not set ("&amp;'Raw IDs'!R3&amp;")"))</f>
        <v>Yes</v>
      </c>
      <c r="U3" s="2" t="str">
        <f aca="false">IF('Raw IDs'!S3="","Not answered",IFERROR(INDEX(Options!$C$2:$C$55,MATCH("seriousness|"&amp;'Raw IDs'!S3,Options!$D$2:$D$55,0)),"Not set ("&amp;'Raw IDs'!S3&amp;")"))</f>
        <v>Motivated</v>
      </c>
      <c r="V3" s="2" t="str">
        <f aca="false">'Raw IDs'!T3</f>
        <v>2025-07-20</v>
      </c>
    </row>
    <row r="4" customFormat="false" ht="15" hidden="false" customHeight="false" outlineLevel="0" collapsed="false">
      <c r="A4" s="2" t="str">
        <f aca="false">'Raw IDs'!A4</f>
        <v>m3</v>
      </c>
      <c r="B4" s="3" t="str">
        <f aca="false">INDEX('ID key'!$C$2:$C$13,MATCH($A4,'ID key'!$A$2:$A$13,0))&amp;" "&amp;INDEX('ID key'!$D$2:$D$13,MATCH($A4,'ID key'!$A$2:$A$13,0))</f>
        <v>Elen Kost</v>
      </c>
      <c r="C4" s="2" t="str">
        <f aca="false">IFERROR(INDEX('Member goals'!$E$2:$E$26,MATCH($A4&amp;"|1",'Member goals'!$G$2:$G$26,0)),"Not provided")</f>
        <v>Muscle tone</v>
      </c>
      <c r="D4" s="2" t="str">
        <f aca="false">IF('Raw IDs'!B4="","Not answered",IFERROR(INDEX(Options!$C$2:$C$55,MATCH("freq|"&amp;'Raw IDs'!B4,Options!$D$2:$D$55,0)),"Not set ("&amp;'Raw IDs'!B4&amp;")"))</f>
        <v>3-4 times / week</v>
      </c>
      <c r="E4" s="2" t="str">
        <f aca="false">IF('Raw IDs'!C4="","Not answered",IFERROR(INDEX(Options!$C$2:$C$55,MATCH("time|"&amp;'Raw IDs'!C4,Options!$D$2:$D$55,0)),"Not set ("&amp;'Raw IDs'!C4&amp;")"))</f>
        <v>3+ years</v>
      </c>
      <c r="F4" s="2" t="str">
        <f aca="false">IF('Raw IDs'!D4="","Not answered",IFERROR(INDEX(Options!$C$2:$C$55,MATCH("smoke|"&amp;'Raw IDs'!D4,Options!$D$2:$D$55,0)),"Not set ("&amp;'Raw IDs'!D4&amp;")"))</f>
        <v>No</v>
      </c>
      <c r="G4" s="2" t="str">
        <f aca="false">IF('Raw IDs'!E4="","Not answered",IFERROR(INDEX(Options!$C$2:$C$55,MATCH("alcohol|"&amp;'Raw IDs'!E4,Options!$D$2:$D$55,0)),"Not set ("&amp;'Raw IDs'!E4&amp;")"))</f>
        <v>Never</v>
      </c>
      <c r="H4" s="2" t="str">
        <f aca="false">IF('Raw IDs'!F4="","Not answered",IFERROR(INDEX(Options!$C$2:$C$55,MATCH("work|"&amp;'Raw IDs'!F4,Options!$D$2:$D$55,0)),"Not set ("&amp;'Raw IDs'!F4&amp;")"))</f>
        <v>Not set (0)</v>
      </c>
      <c r="I4" s="2" t="str">
        <f aca="false">IF('Raw IDs'!G4="","Not answered",'Raw IDs'!G4)</f>
        <v>Not answered</v>
      </c>
      <c r="J4" s="2" t="str">
        <f aca="false">IF('Raw IDs'!H4="","Not answered",IFERROR(INDEX(Options!$C$2:$C$55,MATCH("stress|"&amp;'Raw IDs'!H4,Options!$D$2:$D$55,0)),"Not set ("&amp;'Raw IDs'!H4&amp;")"))</f>
        <v>Manageable</v>
      </c>
      <c r="K4" s="2" t="str">
        <f aca="false">IF('Raw IDs'!I4="","Not answered",IFERROR(INDEX(Options!$C$2:$C$55,MATCH("sleep|"&amp;'Raw IDs'!I4,Options!$D$2:$D$55,0)),"Not set ("&amp;'Raw IDs'!I4&amp;")"))</f>
        <v>6 or less</v>
      </c>
      <c r="L4" s="2" t="str">
        <f aca="false">IF('Raw IDs'!J4="","Not answered",IFERROR(INDEX(Options!$C$2:$C$55,MATCH("diet|"&amp;'Raw IDs'!J4,Options!$D$2:$D$55,0)),"Not set ("&amp;'Raw IDs'!J4&amp;")"))</f>
        <v>Unhealthy</v>
      </c>
      <c r="M4" s="2" t="n">
        <f aca="false">IF('Raw IDs'!K4="","Not answered",IF('Raw IDs'!K4=0,"Not set (0)",'Raw IDs'!K4))</f>
        <v>1</v>
      </c>
      <c r="N4" s="2" t="str">
        <f aca="false">IF('Raw IDs'!L4="","Not answered",IFERROR(INDEX(Options!$C$2:$C$55,MATCH("home|"&amp;'Raw IDs'!L4,Options!$D$2:$D$55,0)),"Not set ("&amp;'Raw IDs'!L4&amp;")"))</f>
        <v>Not answered</v>
      </c>
      <c r="O4" s="2" t="str">
        <f aca="false">IF('Raw IDs'!M4="","Not answered",IFERROR(INDEX(Options!$C$2:$C$55,MATCH("takeout|"&amp;'Raw IDs'!M4,Options!$D$2:$D$55,0)),"Not set ("&amp;'Raw IDs'!M4&amp;")"))</f>
        <v>Not answered</v>
      </c>
      <c r="P4" s="2" t="str">
        <f aca="false">IF('Raw IDs'!N4="","Not answered",IFERROR(INDEX(Options!$C$2:$C$55,MATCH("yesno|"&amp;'Raw IDs'!N4,Options!$D$2:$D$55,0)),"Not set ("&amp;'Raw IDs'!N4&amp;")"))</f>
        <v>Yes</v>
      </c>
      <c r="Q4" s="2" t="str">
        <f aca="false">IF('Raw IDs'!O4="","Not answered",IFERROR(INDEX(Options!$C$2:$C$55,MATCH("yesno|"&amp;'Raw IDs'!O4,Options!$D$2:$D$55,0)),"Not set ("&amp;'Raw IDs'!O4&amp;")"))</f>
        <v>No</v>
      </c>
      <c r="R4" s="2" t="str">
        <f aca="false">IF('Raw IDs'!P4="","Not answered",IFERROR(INDEX(Options!$C$2:$C$55,MATCH("yesno|"&amp;'Raw IDs'!P4,Options!$D$2:$D$55,0)),"Not set ("&amp;'Raw IDs'!P4&amp;")"))</f>
        <v>No</v>
      </c>
      <c r="S4" s="2" t="str">
        <f aca="false">IF('Raw IDs'!Q4="","Not answered",IFERROR(INDEX(Options!$C$2:$C$55,MATCH("yesno|"&amp;'Raw IDs'!Q4,Options!$D$2:$D$55,0)),"Not set ("&amp;'Raw IDs'!Q4&amp;")"))</f>
        <v>Yes</v>
      </c>
      <c r="T4" s="2" t="str">
        <f aca="false">IF('Raw IDs'!R4="","Not answered",IFERROR(INDEX(Options!$C$2:$C$55,MATCH("yesno|"&amp;'Raw IDs'!R4,Options!$D$2:$D$55,0)),"Not set ("&amp;'Raw IDs'!R4&amp;")"))</f>
        <v>Yes</v>
      </c>
      <c r="U4" s="2" t="str">
        <f aca="false">IF('Raw IDs'!S4="","Not answered",IFERROR(INDEX(Options!$C$2:$C$55,MATCH("seriousness|"&amp;'Raw IDs'!S4,Options!$D$2:$D$55,0)),"Not set ("&amp;'Raw IDs'!S4&amp;")"))</f>
        <v>4</v>
      </c>
      <c r="V4" s="2" t="str">
        <f aca="false">'Raw IDs'!T4</f>
        <v>2025-07-24</v>
      </c>
    </row>
    <row r="5" customFormat="false" ht="15" hidden="false" customHeight="false" outlineLevel="0" collapsed="false">
      <c r="A5" s="2" t="str">
        <f aca="false">'Raw IDs'!A5</f>
        <v>m4</v>
      </c>
      <c r="B5" s="3" t="str">
        <f aca="false">INDEX('ID key'!$C$2:$C$13,MATCH($A5,'ID key'!$A$2:$A$13,0))&amp;" "&amp;INDEX('ID key'!$D$2:$D$13,MATCH($A5,'ID key'!$A$2:$A$13,0))</f>
        <v>Emma Arlemark</v>
      </c>
      <c r="C5" s="2" t="str">
        <f aca="false">IFERROR(INDEX('Member goals'!$E$2:$E$26,MATCH($A5&amp;"|1",'Member goals'!$G$2:$G$26,0)),"Not provided")</f>
        <v>Weight loss</v>
      </c>
      <c r="D5" s="2" t="str">
        <f aca="false">IF('Raw IDs'!B5="","Not answered",IFERROR(INDEX(Options!$C$2:$C$55,MATCH("freq|"&amp;'Raw IDs'!B5,Options!$D$2:$D$55,0)),"Not set ("&amp;'Raw IDs'!B5&amp;")"))</f>
        <v>1-2 times / week</v>
      </c>
      <c r="E5" s="2" t="str">
        <f aca="false">IF('Raw IDs'!C5="","Not answered",IFERROR(INDEX(Options!$C$2:$C$55,MATCH("time|"&amp;'Raw IDs'!C5,Options!$D$2:$D$55,0)),"Not set ("&amp;'Raw IDs'!C5&amp;")"))</f>
        <v>Less than a year</v>
      </c>
      <c r="F5" s="2" t="str">
        <f aca="false">IF('Raw IDs'!D5="","Not answered",IFERROR(INDEX(Options!$C$2:$C$55,MATCH("smoke|"&amp;'Raw IDs'!D5,Options!$D$2:$D$55,0)),"Not set ("&amp;'Raw IDs'!D5&amp;")"))</f>
        <v>Yes</v>
      </c>
      <c r="G5" s="2" t="str">
        <f aca="false">IF('Raw IDs'!E5="","Not answered",IFERROR(INDEX(Options!$C$2:$C$55,MATCH("alcohol|"&amp;'Raw IDs'!E5,Options!$D$2:$D$55,0)),"Not set ("&amp;'Raw IDs'!E5&amp;")"))</f>
        <v>Occasionally</v>
      </c>
      <c r="H5" s="2" t="str">
        <f aca="false">IF('Raw IDs'!F5="","Not answered",IFERROR(INDEX(Options!$C$2:$C$55,MATCH("work|"&amp;'Raw IDs'!F5,Options!$D$2:$D$55,0)),"Not set ("&amp;'Raw IDs'!F5&amp;")"))</f>
        <v>Not set (0)</v>
      </c>
      <c r="I5" s="2" t="str">
        <f aca="false">IF('Raw IDs'!G5="","Not answered",'Raw IDs'!G5)</f>
        <v>Not answered</v>
      </c>
      <c r="J5" s="2" t="str">
        <f aca="false">IF('Raw IDs'!H5="","Not answered",IFERROR(INDEX(Options!$C$2:$C$55,MATCH("stress|"&amp;'Raw IDs'!H5,Options!$D$2:$D$55,0)),"Not set ("&amp;'Raw IDs'!H5&amp;")"))</f>
        <v>Manageable</v>
      </c>
      <c r="K5" s="2" t="str">
        <f aca="false">IF('Raw IDs'!I5="","Not answered",IFERROR(INDEX(Options!$C$2:$C$55,MATCH("sleep|"&amp;'Raw IDs'!I5,Options!$D$2:$D$55,0)),"Not set ("&amp;'Raw IDs'!I5&amp;")"))</f>
        <v>6 or less</v>
      </c>
      <c r="L5" s="2" t="str">
        <f aca="false">IF('Raw IDs'!J5="","Not answered",IFERROR(INDEX(Options!$C$2:$C$55,MATCH("diet|"&amp;'Raw IDs'!J5,Options!$D$2:$D$55,0)),"Not set ("&amp;'Raw IDs'!J5&amp;")"))</f>
        <v>Balanced</v>
      </c>
      <c r="M5" s="2" t="n">
        <f aca="false">IF('Raw IDs'!K5="","Not answered",IF('Raw IDs'!K5=0,"Not set (0)",'Raw IDs'!K5))</f>
        <v>2</v>
      </c>
      <c r="N5" s="2" t="str">
        <f aca="false">IF('Raw IDs'!L5="","Not answered",IFERROR(INDEX(Options!$C$2:$C$55,MATCH("home|"&amp;'Raw IDs'!L5,Options!$D$2:$D$55,0)),"Not set ("&amp;'Raw IDs'!L5&amp;")"))</f>
        <v>Not answered</v>
      </c>
      <c r="O5" s="2" t="str">
        <f aca="false">IF('Raw IDs'!M5="","Not answered",IFERROR(INDEX(Options!$C$2:$C$55,MATCH("takeout|"&amp;'Raw IDs'!M5,Options!$D$2:$D$55,0)),"Not set ("&amp;'Raw IDs'!M5&amp;")"))</f>
        <v>Not answered</v>
      </c>
      <c r="P5" s="2" t="str">
        <f aca="false">IF('Raw IDs'!N5="","Not answered",IFERROR(INDEX(Options!$C$2:$C$55,MATCH("yesno|"&amp;'Raw IDs'!N5,Options!$D$2:$D$55,0)),"Not set ("&amp;'Raw IDs'!N5&amp;")"))</f>
        <v>Yes</v>
      </c>
      <c r="Q5" s="2" t="str">
        <f aca="false">IF('Raw IDs'!O5="","Not answered",IFERROR(INDEX(Options!$C$2:$C$55,MATCH("yesno|"&amp;'Raw IDs'!O5,Options!$D$2:$D$55,0)),"Not set ("&amp;'Raw IDs'!O5&amp;")"))</f>
        <v>No</v>
      </c>
      <c r="R5" s="2" t="str">
        <f aca="false">IF('Raw IDs'!P5="","Not answered",IFERROR(INDEX(Options!$C$2:$C$55,MATCH("yesno|"&amp;'Raw IDs'!P5,Options!$D$2:$D$55,0)),"Not set ("&amp;'Raw IDs'!P5&amp;")"))</f>
        <v>No</v>
      </c>
      <c r="S5" s="2" t="str">
        <f aca="false">IF('Raw IDs'!Q5="","Not answered",IFERROR(INDEX(Options!$C$2:$C$55,MATCH("yesno|"&amp;'Raw IDs'!Q5,Options!$D$2:$D$55,0)),"Not set ("&amp;'Raw IDs'!Q5&amp;")"))</f>
        <v>No</v>
      </c>
      <c r="T5" s="2" t="str">
        <f aca="false">IF('Raw IDs'!R5="","Not answered",IFERROR(INDEX(Options!$C$2:$C$55,MATCH("yesno|"&amp;'Raw IDs'!R5,Options!$D$2:$D$55,0)),"Not set ("&amp;'Raw IDs'!R5&amp;")"))</f>
        <v>No</v>
      </c>
      <c r="U5" s="2" t="str">
        <f aca="false">IF('Raw IDs'!S5="","Not answered",IFERROR(INDEX(Options!$C$2:$C$55,MATCH("seriousness|"&amp;'Raw IDs'!S5,Options!$D$2:$D$55,0)),"Not set ("&amp;'Raw IDs'!S5&amp;")"))</f>
        <v>4</v>
      </c>
      <c r="V5" s="2" t="str">
        <f aca="false">'Raw IDs'!T5</f>
        <v>2025-07-27</v>
      </c>
    </row>
    <row r="6" customFormat="false" ht="15" hidden="false" customHeight="false" outlineLevel="0" collapsed="false">
      <c r="A6" s="2" t="str">
        <f aca="false">'Raw IDs'!A6</f>
        <v>m5</v>
      </c>
      <c r="B6" s="3" t="str">
        <f aca="false">INDEX('ID key'!$C$2:$C$13,MATCH($A6,'ID key'!$A$2:$A$13,0))&amp;" "&amp;INDEX('ID key'!$D$2:$D$13,MATCH($A6,'ID key'!$A$2:$A$13,0))</f>
        <v>Ria Juma</v>
      </c>
      <c r="C6" s="2" t="str">
        <f aca="false">IFERROR(INDEX('Member goals'!$E$2:$E$26,MATCH($A6&amp;"|1",'Member goals'!$G$2:$G$26,0)),"Not provided")</f>
        <v>Build strength</v>
      </c>
      <c r="D6" s="2" t="str">
        <f aca="false">IF('Raw IDs'!B6="","Not answered",IFERROR(INDEX(Options!$C$2:$C$55,MATCH("freq|"&amp;'Raw IDs'!B6,Options!$D$2:$D$55,0)),"Not set ("&amp;'Raw IDs'!B6&amp;")"))</f>
        <v>3-4 times / week</v>
      </c>
      <c r="E6" s="2" t="str">
        <f aca="false">IF('Raw IDs'!C6="","Not answered",IFERROR(INDEX(Options!$C$2:$C$55,MATCH("time|"&amp;'Raw IDs'!C6,Options!$D$2:$D$55,0)),"Not set ("&amp;'Raw IDs'!C6&amp;")"))</f>
        <v>3+ years</v>
      </c>
      <c r="F6" s="2" t="str">
        <f aca="false">IF('Raw IDs'!D6="","Not answered",IFERROR(INDEX(Options!$C$2:$C$55,MATCH("smoke|"&amp;'Raw IDs'!D6,Options!$D$2:$D$55,0)),"Not set ("&amp;'Raw IDs'!D6&amp;")"))</f>
        <v>No</v>
      </c>
      <c r="G6" s="2" t="str">
        <f aca="false">IF('Raw IDs'!E6="","Not answered",IFERROR(INDEX(Options!$C$2:$C$55,MATCH("alcohol|"&amp;'Raw IDs'!E6,Options!$D$2:$D$55,0)),"Not set ("&amp;'Raw IDs'!E6&amp;")"))</f>
        <v>Occasionally</v>
      </c>
      <c r="H6" s="2" t="str">
        <f aca="false">IF('Raw IDs'!F6="","Not answered",IFERROR(INDEX(Options!$C$2:$C$55,MATCH("work|"&amp;'Raw IDs'!F6,Options!$D$2:$D$55,0)),"Not set ("&amp;'Raw IDs'!F6&amp;")"))</f>
        <v>Not set (0)</v>
      </c>
      <c r="I6" s="2" t="str">
        <f aca="false">IF('Raw IDs'!G6="","Not answered",'Raw IDs'!G6)</f>
        <v>Not answered</v>
      </c>
      <c r="J6" s="2" t="str">
        <f aca="false">IF('Raw IDs'!H6="","Not answered",IFERROR(INDEX(Options!$C$2:$C$55,MATCH("stress|"&amp;'Raw IDs'!H6,Options!$D$2:$D$55,0)),"Not set ("&amp;'Raw IDs'!H6&amp;")"))</f>
        <v>Manageable</v>
      </c>
      <c r="K6" s="2" t="str">
        <f aca="false">IF('Raw IDs'!I6="","Not answered",IFERROR(INDEX(Options!$C$2:$C$55,MATCH("sleep|"&amp;'Raw IDs'!I6,Options!$D$2:$D$55,0)),"Not set ("&amp;'Raw IDs'!I6&amp;")"))</f>
        <v>7 or more</v>
      </c>
      <c r="L6" s="2" t="str">
        <f aca="false">IF('Raw IDs'!J6="","Not answered",IFERROR(INDEX(Options!$C$2:$C$55,MATCH("diet|"&amp;'Raw IDs'!J6,Options!$D$2:$D$55,0)),"Not set ("&amp;'Raw IDs'!J6&amp;")"))</f>
        <v>Balanced</v>
      </c>
      <c r="M6" s="2" t="n">
        <f aca="false">IF('Raw IDs'!K6="","Not answered",IF('Raw IDs'!K6=0,"Not set (0)",'Raw IDs'!K6))</f>
        <v>3</v>
      </c>
      <c r="N6" s="2" t="str">
        <f aca="false">IF('Raw IDs'!L6="","Not answered",IFERROR(INDEX(Options!$C$2:$C$55,MATCH("home|"&amp;'Raw IDs'!L6,Options!$D$2:$D$55,0)),"Not set ("&amp;'Raw IDs'!L6&amp;")"))</f>
        <v>Not answered</v>
      </c>
      <c r="O6" s="2" t="str">
        <f aca="false">IF('Raw IDs'!M6="","Not answered",IFERROR(INDEX(Options!$C$2:$C$55,MATCH("takeout|"&amp;'Raw IDs'!M6,Options!$D$2:$D$55,0)),"Not set ("&amp;'Raw IDs'!M6&amp;")"))</f>
        <v>Not answered</v>
      </c>
      <c r="P6" s="2" t="str">
        <f aca="false">IF('Raw IDs'!N6="","Not answered",IFERROR(INDEX(Options!$C$2:$C$55,MATCH("yesno|"&amp;'Raw IDs'!N6,Options!$D$2:$D$55,0)),"Not set ("&amp;'Raw IDs'!N6&amp;")"))</f>
        <v>Yes</v>
      </c>
      <c r="Q6" s="2" t="str">
        <f aca="false">IF('Raw IDs'!O6="","Not answered",IFERROR(INDEX(Options!$C$2:$C$55,MATCH("yesno|"&amp;'Raw IDs'!O6,Options!$D$2:$D$55,0)),"Not set ("&amp;'Raw IDs'!O6&amp;")"))</f>
        <v>Yes</v>
      </c>
      <c r="R6" s="2" t="str">
        <f aca="false">IF('Raw IDs'!P6="","Not answered",IFERROR(INDEX(Options!$C$2:$C$55,MATCH("yesno|"&amp;'Raw IDs'!P6,Options!$D$2:$D$55,0)),"Not set ("&amp;'Raw IDs'!P6&amp;")"))</f>
        <v>No</v>
      </c>
      <c r="S6" s="2" t="str">
        <f aca="false">IF('Raw IDs'!Q6="","Not answered",IFERROR(INDEX(Options!$C$2:$C$55,MATCH("yesno|"&amp;'Raw IDs'!Q6,Options!$D$2:$D$55,0)),"Not set ("&amp;'Raw IDs'!Q6&amp;")"))</f>
        <v>Yes</v>
      </c>
      <c r="T6" s="2" t="str">
        <f aca="false">IF('Raw IDs'!R6="","Not answered",IFERROR(INDEX(Options!$C$2:$C$55,MATCH("yesno|"&amp;'Raw IDs'!R6,Options!$D$2:$D$55,0)),"Not set ("&amp;'Raw IDs'!R6&amp;")"))</f>
        <v>Yes</v>
      </c>
      <c r="U6" s="2" t="str">
        <f aca="false">IF('Raw IDs'!S6="","Not answered",IFERROR(INDEX(Options!$C$2:$C$55,MATCH("seriousness|"&amp;'Raw IDs'!S6,Options!$D$2:$D$55,0)),"Not set ("&amp;'Raw IDs'!S6&amp;")"))</f>
        <v>Motivated</v>
      </c>
      <c r="V6" s="2" t="str">
        <f aca="false">'Raw IDs'!T6</f>
        <v>2025-07-27</v>
      </c>
    </row>
    <row r="7" customFormat="false" ht="15" hidden="false" customHeight="false" outlineLevel="0" collapsed="false">
      <c r="A7" s="2" t="str">
        <f aca="false">'Raw IDs'!A7</f>
        <v>m6</v>
      </c>
      <c r="B7" s="3" t="str">
        <f aca="false">INDEX('ID key'!$C$2:$C$13,MATCH($A7,'ID key'!$A$2:$A$13,0))&amp;" "&amp;INDEX('ID key'!$D$2:$D$13,MATCH($A7,'ID key'!$A$2:$A$13,0))</f>
        <v>Maria Costanzo</v>
      </c>
      <c r="C7" s="2" t="str">
        <f aca="false">IFERROR(INDEX('Member goals'!$E$2:$E$26,MATCH($A7&amp;"|1",'Member goals'!$G$2:$G$26,0)),"Not provided")</f>
        <v>Muscle tone</v>
      </c>
      <c r="D7" s="2" t="str">
        <f aca="false">IF('Raw IDs'!B7="","Not answered",IFERROR(INDEX(Options!$C$2:$C$55,MATCH("freq|"&amp;'Raw IDs'!B7,Options!$D$2:$D$55,0)),"Not set ("&amp;'Raw IDs'!B7&amp;")"))</f>
        <v>3-4 times / week</v>
      </c>
      <c r="E7" s="2" t="str">
        <f aca="false">IF('Raw IDs'!C7="","Not answered",IFERROR(INDEX(Options!$C$2:$C$55,MATCH("time|"&amp;'Raw IDs'!C7,Options!$D$2:$D$55,0)),"Not set ("&amp;'Raw IDs'!C7&amp;")"))</f>
        <v>1-3 years</v>
      </c>
      <c r="F7" s="2" t="str">
        <f aca="false">IF('Raw IDs'!D7="","Not answered",IFERROR(INDEX(Options!$C$2:$C$55,MATCH("smoke|"&amp;'Raw IDs'!D7,Options!$D$2:$D$55,0)),"Not set ("&amp;'Raw IDs'!D7&amp;")"))</f>
        <v>Social / Occasional</v>
      </c>
      <c r="G7" s="2" t="str">
        <f aca="false">IF('Raw IDs'!E7="","Not answered",IFERROR(INDEX(Options!$C$2:$C$55,MATCH("alcohol|"&amp;'Raw IDs'!E7,Options!$D$2:$D$55,0)),"Not set ("&amp;'Raw IDs'!E7&amp;")"))</f>
        <v>Occasionally</v>
      </c>
      <c r="H7" s="2" t="str">
        <f aca="false">IF('Raw IDs'!F7="","Not answered",IFERROR(INDEX(Options!$C$2:$C$55,MATCH("work|"&amp;'Raw IDs'!F7,Options!$D$2:$D$55,0)),"Not set ("&amp;'Raw IDs'!F7&amp;")"))</f>
        <v>Not set (0)</v>
      </c>
      <c r="I7" s="2" t="str">
        <f aca="false">IF('Raw IDs'!G7="","Not answered",'Raw IDs'!G7)</f>
        <v>Not answered</v>
      </c>
      <c r="J7" s="2" t="str">
        <f aca="false">IF('Raw IDs'!H7="","Not answered",IFERROR(INDEX(Options!$C$2:$C$55,MATCH("stress|"&amp;'Raw IDs'!H7,Options!$D$2:$D$55,0)),"Not set ("&amp;'Raw IDs'!H7&amp;")"))</f>
        <v>High</v>
      </c>
      <c r="K7" s="2" t="str">
        <f aca="false">IF('Raw IDs'!I7="","Not answered",IFERROR(INDEX(Options!$C$2:$C$55,MATCH("sleep|"&amp;'Raw IDs'!I7,Options!$D$2:$D$55,0)),"Not set ("&amp;'Raw IDs'!I7&amp;")"))</f>
        <v>6 or less</v>
      </c>
      <c r="L7" s="2" t="str">
        <f aca="false">IF('Raw IDs'!J7="","Not answered",IFERROR(INDEX(Options!$C$2:$C$55,MATCH("diet|"&amp;'Raw IDs'!J7,Options!$D$2:$D$55,0)),"Not set ("&amp;'Raw IDs'!J7&amp;")"))</f>
        <v>Healthy</v>
      </c>
      <c r="M7" s="2" t="str">
        <f aca="false">IF('Raw IDs'!K7="","Not answered",IF('Raw IDs'!K7=0,"Not set (0)",'Raw IDs'!K7))</f>
        <v>Not set (0)</v>
      </c>
      <c r="N7" s="2" t="str">
        <f aca="false">IF('Raw IDs'!L7="","Not answered",IFERROR(INDEX(Options!$C$2:$C$55,MATCH("home|"&amp;'Raw IDs'!L7,Options!$D$2:$D$55,0)),"Not set ("&amp;'Raw IDs'!L7&amp;")"))</f>
        <v>Not answered</v>
      </c>
      <c r="O7" s="2" t="str">
        <f aca="false">IF('Raw IDs'!M7="","Not answered",IFERROR(INDEX(Options!$C$2:$C$55,MATCH("takeout|"&amp;'Raw IDs'!M7,Options!$D$2:$D$55,0)),"Not set ("&amp;'Raw IDs'!M7&amp;")"))</f>
        <v>Not answered</v>
      </c>
      <c r="P7" s="2" t="str">
        <f aca="false">IF('Raw IDs'!N7="","Not answered",IFERROR(INDEX(Options!$C$2:$C$55,MATCH("yesno|"&amp;'Raw IDs'!N7,Options!$D$2:$D$55,0)),"Not set ("&amp;'Raw IDs'!N7&amp;")"))</f>
        <v>No</v>
      </c>
      <c r="Q7" s="2" t="str">
        <f aca="false">IF('Raw IDs'!O7="","Not answered",IFERROR(INDEX(Options!$C$2:$C$55,MATCH("yesno|"&amp;'Raw IDs'!O7,Options!$D$2:$D$55,0)),"Not set ("&amp;'Raw IDs'!O7&amp;")"))</f>
        <v>Yes</v>
      </c>
      <c r="R7" s="2" t="str">
        <f aca="false">IF('Raw IDs'!P7="","Not answered",IFERROR(INDEX(Options!$C$2:$C$55,MATCH("yesno|"&amp;'Raw IDs'!P7,Options!$D$2:$D$55,0)),"Not set ("&amp;'Raw IDs'!P7&amp;")"))</f>
        <v>Yes</v>
      </c>
      <c r="S7" s="2" t="str">
        <f aca="false">IF('Raw IDs'!Q7="","Not answered",IFERROR(INDEX(Options!$C$2:$C$55,MATCH("yesno|"&amp;'Raw IDs'!Q7,Options!$D$2:$D$55,0)),"Not set ("&amp;'Raw IDs'!Q7&amp;")"))</f>
        <v>Yes</v>
      </c>
      <c r="T7" s="2" t="str">
        <f aca="false">IF('Raw IDs'!R7="","Not answered",IFERROR(INDEX(Options!$C$2:$C$55,MATCH("yesno|"&amp;'Raw IDs'!R7,Options!$D$2:$D$55,0)),"Not set ("&amp;'Raw IDs'!R7&amp;")"))</f>
        <v>No</v>
      </c>
      <c r="U7" s="2" t="str">
        <f aca="false">IF('Raw IDs'!S7="","Not answered",IFERROR(INDEX(Options!$C$2:$C$55,MATCH("seriousness|"&amp;'Raw IDs'!S7,Options!$D$2:$D$55,0)),"Not set ("&amp;'Raw IDs'!S7&amp;")"))</f>
        <v>Motivated</v>
      </c>
      <c r="V7" s="2" t="str">
        <f aca="false">'Raw IDs'!T7</f>
        <v>2025-07-27</v>
      </c>
    </row>
    <row r="8" customFormat="false" ht="15" hidden="false" customHeight="false" outlineLevel="0" collapsed="false">
      <c r="A8" s="2" t="str">
        <f aca="false">'Raw IDs'!A8</f>
        <v>m7</v>
      </c>
      <c r="B8" s="3" t="str">
        <f aca="false">INDEX('ID key'!$C$2:$C$13,MATCH($A8,'ID key'!$A$2:$A$13,0))&amp;" "&amp;INDEX('ID key'!$D$2:$D$13,MATCH($A8,'ID key'!$A$2:$A$13,0))</f>
        <v>Vinay Parmar</v>
      </c>
      <c r="C8" s="2" t="str">
        <f aca="false">IFERROR(INDEX('Member goals'!$E$2:$E$26,MATCH($A8&amp;"|1",'Member goals'!$G$2:$G$26,0)),"Not provided")</f>
        <v>Weight loss</v>
      </c>
      <c r="D8" s="2" t="str">
        <f aca="false">IF('Raw IDs'!B8="","Not answered",IFERROR(INDEX(Options!$C$2:$C$55,MATCH("freq|"&amp;'Raw IDs'!B8,Options!$D$2:$D$55,0)),"Not set ("&amp;'Raw IDs'!B8&amp;")"))</f>
        <v>5-6 times / week</v>
      </c>
      <c r="E8" s="2" t="str">
        <f aca="false">IF('Raw IDs'!C8="","Not answered",IFERROR(INDEX(Options!$C$2:$C$55,MATCH("time|"&amp;'Raw IDs'!C8,Options!$D$2:$D$55,0)),"Not set ("&amp;'Raw IDs'!C8&amp;")"))</f>
        <v>3+ years</v>
      </c>
      <c r="F8" s="2" t="str">
        <f aca="false">IF('Raw IDs'!D8="","Not answered",IFERROR(INDEX(Options!$C$2:$C$55,MATCH("smoke|"&amp;'Raw IDs'!D8,Options!$D$2:$D$55,0)),"Not set ("&amp;'Raw IDs'!D8&amp;")"))</f>
        <v>No</v>
      </c>
      <c r="G8" s="2" t="str">
        <f aca="false">IF('Raw IDs'!E8="","Not answered",IFERROR(INDEX(Options!$C$2:$C$55,MATCH("alcohol|"&amp;'Raw IDs'!E8,Options!$D$2:$D$55,0)),"Not set ("&amp;'Raw IDs'!E8&amp;")"))</f>
        <v>Occasionally</v>
      </c>
      <c r="H8" s="2" t="str">
        <f aca="false">IF('Raw IDs'!F8="","Not answered",IFERROR(INDEX(Options!$C$2:$C$55,MATCH("work|"&amp;'Raw IDs'!F8,Options!$D$2:$D$55,0)),"Not set ("&amp;'Raw IDs'!F8&amp;")"))</f>
        <v>Not set (0)</v>
      </c>
      <c r="I8" s="2" t="str">
        <f aca="false">IF('Raw IDs'!G8="","Not answered",'Raw IDs'!G8)</f>
        <v>Not answered</v>
      </c>
      <c r="J8" s="2" t="str">
        <f aca="false">IF('Raw IDs'!H8="","Not answered",IFERROR(INDEX(Options!$C$2:$C$55,MATCH("stress|"&amp;'Raw IDs'!H8,Options!$D$2:$D$55,0)),"Not set ("&amp;'Raw IDs'!H8&amp;")"))</f>
        <v>Manageable</v>
      </c>
      <c r="K8" s="2" t="str">
        <f aca="false">IF('Raw IDs'!I8="","Not answered",IFERROR(INDEX(Options!$C$2:$C$55,MATCH("sleep|"&amp;'Raw IDs'!I8,Options!$D$2:$D$55,0)),"Not set ("&amp;'Raw IDs'!I8&amp;")"))</f>
        <v>7 or more</v>
      </c>
      <c r="L8" s="2" t="str">
        <f aca="false">IF('Raw IDs'!J8="","Not answered",IFERROR(INDEX(Options!$C$2:$C$55,MATCH("diet|"&amp;'Raw IDs'!J8,Options!$D$2:$D$55,0)),"Not set ("&amp;'Raw IDs'!J8&amp;")"))</f>
        <v>Balanced</v>
      </c>
      <c r="M8" s="2" t="str">
        <f aca="false">IF('Raw IDs'!K8="","Not answered",IF('Raw IDs'!K8=0,"Not set (0)",'Raw IDs'!K8))</f>
        <v>Not set (0)</v>
      </c>
      <c r="N8" s="2" t="str">
        <f aca="false">IF('Raw IDs'!L8="","Not answered",IFERROR(INDEX(Options!$C$2:$C$55,MATCH("home|"&amp;'Raw IDs'!L8,Options!$D$2:$D$55,0)),"Not set ("&amp;'Raw IDs'!L8&amp;")"))</f>
        <v>Not answered</v>
      </c>
      <c r="O8" s="2" t="str">
        <f aca="false">IF('Raw IDs'!M8="","Not answered",IFERROR(INDEX(Options!$C$2:$C$55,MATCH("takeout|"&amp;'Raw IDs'!M8,Options!$D$2:$D$55,0)),"Not set ("&amp;'Raw IDs'!M8&amp;")"))</f>
        <v>Not answered</v>
      </c>
      <c r="P8" s="2" t="str">
        <f aca="false">IF('Raw IDs'!N8="","Not answered",IFERROR(INDEX(Options!$C$2:$C$55,MATCH("yesno|"&amp;'Raw IDs'!N8,Options!$D$2:$D$55,0)),"Not set ("&amp;'Raw IDs'!N8&amp;")"))</f>
        <v>No</v>
      </c>
      <c r="Q8" s="2" t="str">
        <f aca="false">IF('Raw IDs'!O8="","Not answered",IFERROR(INDEX(Options!$C$2:$C$55,MATCH("yesno|"&amp;'Raw IDs'!O8,Options!$D$2:$D$55,0)),"Not set ("&amp;'Raw IDs'!O8&amp;")"))</f>
        <v>No</v>
      </c>
      <c r="R8" s="2" t="str">
        <f aca="false">IF('Raw IDs'!P8="","Not answered",IFERROR(INDEX(Options!$C$2:$C$55,MATCH("yesno|"&amp;'Raw IDs'!P8,Options!$D$2:$D$55,0)),"Not set ("&amp;'Raw IDs'!P8&amp;")"))</f>
        <v>No</v>
      </c>
      <c r="S8" s="2" t="str">
        <f aca="false">IF('Raw IDs'!Q8="","Not answered",IFERROR(INDEX(Options!$C$2:$C$55,MATCH("yesno|"&amp;'Raw IDs'!Q8,Options!$D$2:$D$55,0)),"Not set ("&amp;'Raw IDs'!Q8&amp;")"))</f>
        <v>Yes</v>
      </c>
      <c r="T8" s="2" t="str">
        <f aca="false">IF('Raw IDs'!R8="","Not answered",IFERROR(INDEX(Options!$C$2:$C$55,MATCH("yesno|"&amp;'Raw IDs'!R8,Options!$D$2:$D$55,0)),"Not set ("&amp;'Raw IDs'!R8&amp;")"))</f>
        <v>No</v>
      </c>
      <c r="U8" s="2" t="str">
        <f aca="false">IF('Raw IDs'!S8="","Not answered",IFERROR(INDEX(Options!$C$2:$C$55,MATCH("seriousness|"&amp;'Raw IDs'!S8,Options!$D$2:$D$55,0)),"Not set ("&amp;'Raw IDs'!S8&amp;")"))</f>
        <v>Motivated</v>
      </c>
      <c r="V8" s="2" t="str">
        <f aca="false">'Raw IDs'!T8</f>
        <v>2025-07-28</v>
      </c>
    </row>
    <row r="9" customFormat="false" ht="15" hidden="false" customHeight="false" outlineLevel="0" collapsed="false">
      <c r="A9" s="2" t="str">
        <f aca="false">'Raw IDs'!A9</f>
        <v>m8</v>
      </c>
      <c r="B9" s="3" t="str">
        <f aca="false">INDEX('ID key'!$C$2:$C$13,MATCH($A9,'ID key'!$A$2:$A$13,0))&amp;" "&amp;INDEX('ID key'!$D$2:$D$13,MATCH($A9,'ID key'!$A$2:$A$13,0))</f>
        <v>Ruksana Hussain</v>
      </c>
      <c r="C9" s="2" t="str">
        <f aca="false">IFERROR(INDEX('Member goals'!$E$2:$E$26,MATCH($A9&amp;"|1",'Member goals'!$G$2:$G$26,0)),"Not provided")</f>
        <v>Weight loss</v>
      </c>
      <c r="D9" s="2" t="str">
        <f aca="false">IF('Raw IDs'!B9="","Not answered",IFERROR(INDEX(Options!$C$2:$C$55,MATCH("freq|"&amp;'Raw IDs'!B9,Options!$D$2:$D$55,0)),"Not set ("&amp;'Raw IDs'!B9&amp;")"))</f>
        <v>5-6 times / week</v>
      </c>
      <c r="E9" s="2" t="str">
        <f aca="false">IF('Raw IDs'!C9="","Not answered",IFERROR(INDEX(Options!$C$2:$C$55,MATCH("time|"&amp;'Raw IDs'!C9,Options!$D$2:$D$55,0)),"Not set ("&amp;'Raw IDs'!C9&amp;")"))</f>
        <v>3+ years</v>
      </c>
      <c r="F9" s="2" t="str">
        <f aca="false">IF('Raw IDs'!D9="","Not answered",IFERROR(INDEX(Options!$C$2:$C$55,MATCH("smoke|"&amp;'Raw IDs'!D9,Options!$D$2:$D$55,0)),"Not set ("&amp;'Raw IDs'!D9&amp;")"))</f>
        <v>No</v>
      </c>
      <c r="G9" s="2" t="str">
        <f aca="false">IF('Raw IDs'!E9="","Not answered",IFERROR(INDEX(Options!$C$2:$C$55,MATCH("alcohol|"&amp;'Raw IDs'!E9,Options!$D$2:$D$55,0)),"Not set ("&amp;'Raw IDs'!E9&amp;")"))</f>
        <v>Never</v>
      </c>
      <c r="H9" s="2" t="str">
        <f aca="false">IF('Raw IDs'!F9="","Not answered",IFERROR(INDEX(Options!$C$2:$C$55,MATCH("work|"&amp;'Raw IDs'!F9,Options!$D$2:$D$55,0)),"Not set ("&amp;'Raw IDs'!F9&amp;")"))</f>
        <v>Not set (0)</v>
      </c>
      <c r="I9" s="2" t="str">
        <f aca="false">IF('Raw IDs'!G9="","Not answered",'Raw IDs'!G9)</f>
        <v>Not answered</v>
      </c>
      <c r="J9" s="2" t="str">
        <f aca="false">IF('Raw IDs'!H9="","Not answered",IFERROR(INDEX(Options!$C$2:$C$55,MATCH("stress|"&amp;'Raw IDs'!H9,Options!$D$2:$D$55,0)),"Not set ("&amp;'Raw IDs'!H9&amp;")"))</f>
        <v>Manageable</v>
      </c>
      <c r="K9" s="2" t="str">
        <f aca="false">IF('Raw IDs'!I9="","Not answered",IFERROR(INDEX(Options!$C$2:$C$55,MATCH("sleep|"&amp;'Raw IDs'!I9,Options!$D$2:$D$55,0)),"Not set ("&amp;'Raw IDs'!I9&amp;")"))</f>
        <v>6 or less</v>
      </c>
      <c r="L9" s="2" t="str">
        <f aca="false">IF('Raw IDs'!J9="","Not answered",IFERROR(INDEX(Options!$C$2:$C$55,MATCH("diet|"&amp;'Raw IDs'!J9,Options!$D$2:$D$55,0)),"Not set ("&amp;'Raw IDs'!J9&amp;")"))</f>
        <v>Balanced</v>
      </c>
      <c r="M9" s="2" t="n">
        <f aca="false">IF('Raw IDs'!K9="","Not answered",IF('Raw IDs'!K9=0,"Not set (0)",'Raw IDs'!K9))</f>
        <v>2</v>
      </c>
      <c r="N9" s="2" t="str">
        <f aca="false">IF('Raw IDs'!L9="","Not answered",IFERROR(INDEX(Options!$C$2:$C$55,MATCH("home|"&amp;'Raw IDs'!L9,Options!$D$2:$D$55,0)),"Not set ("&amp;'Raw IDs'!L9&amp;")"))</f>
        <v>Not answered</v>
      </c>
      <c r="O9" s="2" t="str">
        <f aca="false">IF('Raw IDs'!M9="","Not answered",IFERROR(INDEX(Options!$C$2:$C$55,MATCH("takeout|"&amp;'Raw IDs'!M9,Options!$D$2:$D$55,0)),"Not set ("&amp;'Raw IDs'!M9&amp;")"))</f>
        <v>Not answered</v>
      </c>
      <c r="P9" s="2" t="str">
        <f aca="false">IF('Raw IDs'!N9="","Not answered",IFERROR(INDEX(Options!$C$2:$C$55,MATCH("yesno|"&amp;'Raw IDs'!N9,Options!$D$2:$D$55,0)),"Not set ("&amp;'Raw IDs'!N9&amp;")"))</f>
        <v>Yes</v>
      </c>
      <c r="Q9" s="2" t="str">
        <f aca="false">IF('Raw IDs'!O9="","Not answered",IFERROR(INDEX(Options!$C$2:$C$55,MATCH("yesno|"&amp;'Raw IDs'!O9,Options!$D$2:$D$55,0)),"Not set ("&amp;'Raw IDs'!O9&amp;")"))</f>
        <v>Yes</v>
      </c>
      <c r="R9" s="2" t="str">
        <f aca="false">IF('Raw IDs'!P9="","Not answered",IFERROR(INDEX(Options!$C$2:$C$55,MATCH("yesno|"&amp;'Raw IDs'!P9,Options!$D$2:$D$55,0)),"Not set ("&amp;'Raw IDs'!P9&amp;")"))</f>
        <v>No</v>
      </c>
      <c r="S9" s="2" t="str">
        <f aca="false">IF('Raw IDs'!Q9="","Not answered",IFERROR(INDEX(Options!$C$2:$C$55,MATCH("yesno|"&amp;'Raw IDs'!Q9,Options!$D$2:$D$55,0)),"Not set ("&amp;'Raw IDs'!Q9&amp;")"))</f>
        <v>No</v>
      </c>
      <c r="T9" s="2" t="str">
        <f aca="false">IF('Raw IDs'!R9="","Not answered",IFERROR(INDEX(Options!$C$2:$C$55,MATCH("yesno|"&amp;'Raw IDs'!R9,Options!$D$2:$D$55,0)),"Not set ("&amp;'Raw IDs'!R9&amp;")"))</f>
        <v>Yes</v>
      </c>
      <c r="U9" s="2" t="str">
        <f aca="false">IF('Raw IDs'!S9="","Not answered",IFERROR(INDEX(Options!$C$2:$C$55,MATCH("seriousness|"&amp;'Raw IDs'!S9,Options!$D$2:$D$55,0)),"Not set ("&amp;'Raw IDs'!S9&amp;")"))</f>
        <v>Motivated</v>
      </c>
      <c r="V9" s="2" t="str">
        <f aca="false">'Raw IDs'!T9</f>
        <v>2025-07-29</v>
      </c>
    </row>
    <row r="10" customFormat="false" ht="15" hidden="false" customHeight="false" outlineLevel="0" collapsed="false">
      <c r="A10" s="2" t="str">
        <f aca="false">'Raw IDs'!A10</f>
        <v>m9</v>
      </c>
      <c r="B10" s="3" t="str">
        <f aca="false">INDEX('ID key'!$C$2:$C$13,MATCH($A10,'ID key'!$A$2:$A$13,0))&amp;" "&amp;INDEX('ID key'!$D$2:$D$13,MATCH($A10,'ID key'!$A$2:$A$13,0))</f>
        <v>Asif Khokhar</v>
      </c>
      <c r="C10" s="4" t="str">
        <f aca="false">IFERROR(INDEX('Member goals'!$E$2:$E$26,MATCH($A10&amp;"|1",'Member goals'!$G$2:$G$26,0)),"Not provided")</f>
        <v>Not provided</v>
      </c>
      <c r="D10" s="2" t="str">
        <f aca="false">IF('Raw IDs'!B10="","Not answered",IFERROR(INDEX(Options!$C$2:$C$55,MATCH("freq|"&amp;'Raw IDs'!B10,Options!$D$2:$D$55,0)),"Not set ("&amp;'Raw IDs'!B10&amp;")"))</f>
        <v>1-2 times / week</v>
      </c>
      <c r="E10" s="2" t="str">
        <f aca="false">IF('Raw IDs'!C10="","Not answered",IFERROR(INDEX(Options!$C$2:$C$55,MATCH("time|"&amp;'Raw IDs'!C10,Options!$D$2:$D$55,0)),"Not set ("&amp;'Raw IDs'!C10&amp;")"))</f>
        <v>3+ years</v>
      </c>
      <c r="F10" s="2" t="str">
        <f aca="false">IF('Raw IDs'!D10="","Not answered",IFERROR(INDEX(Options!$C$2:$C$55,MATCH("smoke|"&amp;'Raw IDs'!D10,Options!$D$2:$D$55,0)),"Not set ("&amp;'Raw IDs'!D10&amp;")"))</f>
        <v>Social / Occasional</v>
      </c>
      <c r="G10" s="2" t="str">
        <f aca="false">IF('Raw IDs'!E10="","Not answered",IFERROR(INDEX(Options!$C$2:$C$55,MATCH("alcohol|"&amp;'Raw IDs'!E10,Options!$D$2:$D$55,0)),"Not set ("&amp;'Raw IDs'!E10&amp;")"))</f>
        <v>Never</v>
      </c>
      <c r="H10" s="2" t="str">
        <f aca="false">IF('Raw IDs'!F10="","Not answered",IFERROR(INDEX(Options!$C$2:$C$55,MATCH("work|"&amp;'Raw IDs'!F10,Options!$D$2:$D$55,0)),"Not set ("&amp;'Raw IDs'!F10&amp;")"))</f>
        <v>Not set (0)</v>
      </c>
      <c r="I10" s="2" t="str">
        <f aca="false">IF('Raw IDs'!G10="","Not answered",'Raw IDs'!G10)</f>
        <v>Not answered</v>
      </c>
      <c r="J10" s="2" t="str">
        <f aca="false">IF('Raw IDs'!H10="","Not answered",IFERROR(INDEX(Options!$C$2:$C$55,MATCH("stress|"&amp;'Raw IDs'!H10,Options!$D$2:$D$55,0)),"Not set ("&amp;'Raw IDs'!H10&amp;")"))</f>
        <v>Manageable</v>
      </c>
      <c r="K10" s="2" t="str">
        <f aca="false">IF('Raw IDs'!I10="","Not answered",IFERROR(INDEX(Options!$C$2:$C$55,MATCH("sleep|"&amp;'Raw IDs'!I10,Options!$D$2:$D$55,0)),"Not set ("&amp;'Raw IDs'!I10&amp;")"))</f>
        <v>6 or less</v>
      </c>
      <c r="L10" s="2" t="str">
        <f aca="false">IF('Raw IDs'!J10="","Not answered",IFERROR(INDEX(Options!$C$2:$C$55,MATCH("diet|"&amp;'Raw IDs'!J10,Options!$D$2:$D$55,0)),"Not set ("&amp;'Raw IDs'!J10&amp;")"))</f>
        <v>Balanced</v>
      </c>
      <c r="M10" s="2" t="n">
        <f aca="false">IF('Raw IDs'!K10="","Not answered",IF('Raw IDs'!K10=0,"Not set (0)",'Raw IDs'!K10))</f>
        <v>3</v>
      </c>
      <c r="N10" s="2" t="str">
        <f aca="false">IF('Raw IDs'!L10="","Not answered",IFERROR(INDEX(Options!$C$2:$C$55,MATCH("home|"&amp;'Raw IDs'!L10,Options!$D$2:$D$55,0)),"Not set ("&amp;'Raw IDs'!L10&amp;")"))</f>
        <v>Not answered</v>
      </c>
      <c r="O10" s="2" t="str">
        <f aca="false">IF('Raw IDs'!M10="","Not answered",IFERROR(INDEX(Options!$C$2:$C$55,MATCH("takeout|"&amp;'Raw IDs'!M10,Options!$D$2:$D$55,0)),"Not set ("&amp;'Raw IDs'!M10&amp;")"))</f>
        <v>Not answered</v>
      </c>
      <c r="P10" s="2" t="str">
        <f aca="false">IF('Raw IDs'!N10="","Not answered",IFERROR(INDEX(Options!$C$2:$C$55,MATCH("yesno|"&amp;'Raw IDs'!N10,Options!$D$2:$D$55,0)),"Not set ("&amp;'Raw IDs'!N10&amp;")"))</f>
        <v>No</v>
      </c>
      <c r="Q10" s="2" t="str">
        <f aca="false">IF('Raw IDs'!O10="","Not answered",IFERROR(INDEX(Options!$C$2:$C$55,MATCH("yesno|"&amp;'Raw IDs'!O10,Options!$D$2:$D$55,0)),"Not set ("&amp;'Raw IDs'!O10&amp;")"))</f>
        <v>No</v>
      </c>
      <c r="R10" s="2" t="str">
        <f aca="false">IF('Raw IDs'!P10="","Not answered",IFERROR(INDEX(Options!$C$2:$C$55,MATCH("yesno|"&amp;'Raw IDs'!P10,Options!$D$2:$D$55,0)),"Not set ("&amp;'Raw IDs'!P10&amp;")"))</f>
        <v>No</v>
      </c>
      <c r="S10" s="2" t="str">
        <f aca="false">IF('Raw IDs'!Q10="","Not answered",IFERROR(INDEX(Options!$C$2:$C$55,MATCH("yesno|"&amp;'Raw IDs'!Q10,Options!$D$2:$D$55,0)),"Not set ("&amp;'Raw IDs'!Q10&amp;")"))</f>
        <v>Yes</v>
      </c>
      <c r="T10" s="2" t="str">
        <f aca="false">IF('Raw IDs'!R10="","Not answered",IFERROR(INDEX(Options!$C$2:$C$55,MATCH("yesno|"&amp;'Raw IDs'!R10,Options!$D$2:$D$55,0)),"Not set ("&amp;'Raw IDs'!R10&amp;")"))</f>
        <v>Yes</v>
      </c>
      <c r="U10" s="2" t="str">
        <f aca="false">IF('Raw IDs'!S10="","Not answered",IFERROR(INDEX(Options!$C$2:$C$55,MATCH("seriousness|"&amp;'Raw IDs'!S10,Options!$D$2:$D$55,0)),"Not set ("&amp;'Raw IDs'!S10&amp;")"))</f>
        <v>Motivated</v>
      </c>
      <c r="V10" s="2" t="str">
        <f aca="false">'Raw IDs'!T10</f>
        <v>2025-07-30</v>
      </c>
    </row>
    <row r="11" customFormat="false" ht="15" hidden="false" customHeight="false" outlineLevel="0" collapsed="false">
      <c r="A11" s="2" t="str">
        <f aca="false">'Raw IDs'!A11</f>
        <v>m10</v>
      </c>
      <c r="B11" s="3" t="str">
        <f aca="false">INDEX('ID key'!$C$2:$C$13,MATCH($A11,'ID key'!$A$2:$A$13,0))&amp;" "&amp;INDEX('ID key'!$D$2:$D$13,MATCH($A11,'ID key'!$A$2:$A$13,0))</f>
        <v>Sadaf Hameed</v>
      </c>
      <c r="C11" s="4" t="str">
        <f aca="false">IFERROR(INDEX('Member goals'!$E$2:$E$26,MATCH($A11&amp;"|1",'Member goals'!$G$2:$G$26,0)),"Not provided")</f>
        <v>Not provided</v>
      </c>
      <c r="D11" s="2" t="str">
        <f aca="false">IF('Raw IDs'!B11="","Not answered",IFERROR(INDEX(Options!$C$2:$C$55,MATCH("freq|"&amp;'Raw IDs'!B11,Options!$D$2:$D$55,0)),"Not set ("&amp;'Raw IDs'!B11&amp;")"))</f>
        <v>1-2 times / week</v>
      </c>
      <c r="E11" s="2" t="str">
        <f aca="false">IF('Raw IDs'!C11="","Not answered",IFERROR(INDEX(Options!$C$2:$C$55,MATCH("time|"&amp;'Raw IDs'!C11,Options!$D$2:$D$55,0)),"Not set ("&amp;'Raw IDs'!C11&amp;")"))</f>
        <v>Less than a year</v>
      </c>
      <c r="F11" s="2" t="str">
        <f aca="false">IF('Raw IDs'!D11="","Not answered",IFERROR(INDEX(Options!$C$2:$C$55,MATCH("smoke|"&amp;'Raw IDs'!D11,Options!$D$2:$D$55,0)),"Not set ("&amp;'Raw IDs'!D11&amp;")"))</f>
        <v>No</v>
      </c>
      <c r="G11" s="2" t="str">
        <f aca="false">IF('Raw IDs'!E11="","Not answered",IFERROR(INDEX(Options!$C$2:$C$55,MATCH("alcohol|"&amp;'Raw IDs'!E11,Options!$D$2:$D$55,0)),"Not set ("&amp;'Raw IDs'!E11&amp;")"))</f>
        <v>Never</v>
      </c>
      <c r="H11" s="2" t="str">
        <f aca="false">IF('Raw IDs'!F11="","Not answered",IFERROR(INDEX(Options!$C$2:$C$55,MATCH("work|"&amp;'Raw IDs'!F11,Options!$D$2:$D$55,0)),"Not set ("&amp;'Raw IDs'!F11&amp;")"))</f>
        <v>Not set (0)</v>
      </c>
      <c r="I11" s="2" t="str">
        <f aca="false">IF('Raw IDs'!G11="","Not answered",'Raw IDs'!G11)</f>
        <v>Not answered</v>
      </c>
      <c r="J11" s="2" t="str">
        <f aca="false">IF('Raw IDs'!H11="","Not answered",IFERROR(INDEX(Options!$C$2:$C$55,MATCH("stress|"&amp;'Raw IDs'!H11,Options!$D$2:$D$55,0)),"Not set ("&amp;'Raw IDs'!H11&amp;")"))</f>
        <v>Manageable</v>
      </c>
      <c r="K11" s="2" t="str">
        <f aca="false">IF('Raw IDs'!I11="","Not answered",IFERROR(INDEX(Options!$C$2:$C$55,MATCH("sleep|"&amp;'Raw IDs'!I11,Options!$D$2:$D$55,0)),"Not set ("&amp;'Raw IDs'!I11&amp;")"))</f>
        <v>6 or less</v>
      </c>
      <c r="L11" s="2" t="str">
        <f aca="false">IF('Raw IDs'!J11="","Not answered",IFERROR(INDEX(Options!$C$2:$C$55,MATCH("diet|"&amp;'Raw IDs'!J11,Options!$D$2:$D$55,0)),"Not set ("&amp;'Raw IDs'!J11&amp;")"))</f>
        <v>Balanced</v>
      </c>
      <c r="M11" s="2" t="str">
        <f aca="false">IF('Raw IDs'!K11="","Not answered",IF('Raw IDs'!K11=0,"Not set (0)",'Raw IDs'!K11))</f>
        <v>Not set (0)</v>
      </c>
      <c r="N11" s="2" t="str">
        <f aca="false">IF('Raw IDs'!L11="","Not answered",IFERROR(INDEX(Options!$C$2:$C$55,MATCH("home|"&amp;'Raw IDs'!L11,Options!$D$2:$D$55,0)),"Not set ("&amp;'Raw IDs'!L11&amp;")"))</f>
        <v>Not answered</v>
      </c>
      <c r="O11" s="2" t="str">
        <f aca="false">IF('Raw IDs'!M11="","Not answered",IFERROR(INDEX(Options!$C$2:$C$55,MATCH("takeout|"&amp;'Raw IDs'!M11,Options!$D$2:$D$55,0)),"Not set ("&amp;'Raw IDs'!M11&amp;")"))</f>
        <v>Not answered</v>
      </c>
      <c r="P11" s="2" t="str">
        <f aca="false">IF('Raw IDs'!N11="","Not answered",IFERROR(INDEX(Options!$C$2:$C$55,MATCH("yesno|"&amp;'Raw IDs'!N11,Options!$D$2:$D$55,0)),"Not set ("&amp;'Raw IDs'!N11&amp;")"))</f>
        <v>Yes</v>
      </c>
      <c r="Q11" s="2" t="str">
        <f aca="false">IF('Raw IDs'!O11="","Not answered",IFERROR(INDEX(Options!$C$2:$C$55,MATCH("yesno|"&amp;'Raw IDs'!O11,Options!$D$2:$D$55,0)),"Not set ("&amp;'Raw IDs'!O11&amp;")"))</f>
        <v>No</v>
      </c>
      <c r="R11" s="2" t="str">
        <f aca="false">IF('Raw IDs'!P11="","Not answered",IFERROR(INDEX(Options!$C$2:$C$55,MATCH("yesno|"&amp;'Raw IDs'!P11,Options!$D$2:$D$55,0)),"Not set ("&amp;'Raw IDs'!P11&amp;")"))</f>
        <v>No</v>
      </c>
      <c r="S11" s="2" t="str">
        <f aca="false">IF('Raw IDs'!Q11="","Not answered",IFERROR(INDEX(Options!$C$2:$C$55,MATCH("yesno|"&amp;'Raw IDs'!Q11,Options!$D$2:$D$55,0)),"Not set ("&amp;'Raw IDs'!Q11&amp;")"))</f>
        <v>Yes</v>
      </c>
      <c r="T11" s="2" t="str">
        <f aca="false">IF('Raw IDs'!R11="","Not answered",IFERROR(INDEX(Options!$C$2:$C$55,MATCH("yesno|"&amp;'Raw IDs'!R11,Options!$D$2:$D$55,0)),"Not set ("&amp;'Raw IDs'!R11&amp;")"))</f>
        <v>No</v>
      </c>
      <c r="U11" s="2" t="str">
        <f aca="false">IF('Raw IDs'!S11="","Not answered",IFERROR(INDEX(Options!$C$2:$C$55,MATCH("seriousness|"&amp;'Raw IDs'!S11,Options!$D$2:$D$55,0)),"Not set ("&amp;'Raw IDs'!S11&amp;")"))</f>
        <v>3</v>
      </c>
      <c r="V11" s="2" t="str">
        <f aca="false">'Raw IDs'!T11</f>
        <v>2025-08-01</v>
      </c>
    </row>
    <row r="12" customFormat="false" ht="15" hidden="false" customHeight="false" outlineLevel="0" collapsed="false">
      <c r="A12" s="2" t="str">
        <f aca="false">'Raw IDs'!A12</f>
        <v>m11</v>
      </c>
      <c r="B12" s="3" t="str">
        <f aca="false">INDEX('ID key'!$C$2:$C$13,MATCH($A12,'ID key'!$A$2:$A$13,0))&amp;" "&amp;INDEX('ID key'!$D$2:$D$13,MATCH($A12,'ID key'!$A$2:$A$13,0))</f>
        <v>Maryna Tykhonenko</v>
      </c>
      <c r="C12" s="4" t="str">
        <f aca="false">IFERROR(INDEX('Member goals'!$E$2:$E$26,MATCH($A12&amp;"|1",'Member goals'!$G$2:$G$26,0)),"Not provided")</f>
        <v>Not provided</v>
      </c>
      <c r="D12" s="2" t="str">
        <f aca="false">IF('Raw IDs'!B12="","Not answered",IFERROR(INDEX(Options!$C$2:$C$55,MATCH("freq|"&amp;'Raw IDs'!B12,Options!$D$2:$D$55,0)),"Not set ("&amp;'Raw IDs'!B12&amp;")"))</f>
        <v>Never</v>
      </c>
      <c r="E12" s="2" t="str">
        <f aca="false">IF('Raw IDs'!C12="","Not answered",IFERROR(INDEX(Options!$C$2:$C$55,MATCH("time|"&amp;'Raw IDs'!C12,Options!$D$2:$D$55,0)),"Not set ("&amp;'Raw IDs'!C12&amp;")"))</f>
        <v>Less than a year</v>
      </c>
      <c r="F12" s="2" t="str">
        <f aca="false">IF('Raw IDs'!D12="","Not answered",IFERROR(INDEX(Options!$C$2:$C$55,MATCH("smoke|"&amp;'Raw IDs'!D12,Options!$D$2:$D$55,0)),"Not set ("&amp;'Raw IDs'!D12&amp;")"))</f>
        <v>Yes</v>
      </c>
      <c r="G12" s="2" t="str">
        <f aca="false">IF('Raw IDs'!E12="","Not answered",IFERROR(INDEX(Options!$C$2:$C$55,MATCH("alcohol|"&amp;'Raw IDs'!E12,Options!$D$2:$D$55,0)),"Not set ("&amp;'Raw IDs'!E12&amp;")"))</f>
        <v>Occasionally</v>
      </c>
      <c r="H12" s="2" t="str">
        <f aca="false">IF('Raw IDs'!F12="","Not answered",IFERROR(INDEX(Options!$C$2:$C$55,MATCH("work|"&amp;'Raw IDs'!F12,Options!$D$2:$D$55,0)),"Not set ("&amp;'Raw IDs'!F12&amp;")"))</f>
        <v>Not set (0)</v>
      </c>
      <c r="I12" s="2" t="str">
        <f aca="false">IF('Raw IDs'!G12="","Not answered",'Raw IDs'!G12)</f>
        <v>Not answered</v>
      </c>
      <c r="J12" s="2" t="str">
        <f aca="false">IF('Raw IDs'!H12="","Not answered",IFERROR(INDEX(Options!$C$2:$C$55,MATCH("stress|"&amp;'Raw IDs'!H12,Options!$D$2:$D$55,0)),"Not set ("&amp;'Raw IDs'!H12&amp;")"))</f>
        <v>High</v>
      </c>
      <c r="K12" s="2" t="str">
        <f aca="false">IF('Raw IDs'!I12="","Not answered",IFERROR(INDEX(Options!$C$2:$C$55,MATCH("sleep|"&amp;'Raw IDs'!I12,Options!$D$2:$D$55,0)),"Not set ("&amp;'Raw IDs'!I12&amp;")"))</f>
        <v>6 or less</v>
      </c>
      <c r="L12" s="2" t="str">
        <f aca="false">IF('Raw IDs'!J12="","Not answered",IFERROR(INDEX(Options!$C$2:$C$55,MATCH("diet|"&amp;'Raw IDs'!J12,Options!$D$2:$D$55,0)),"Not set ("&amp;'Raw IDs'!J12&amp;")"))</f>
        <v>Balanced</v>
      </c>
      <c r="M12" s="2" t="n">
        <f aca="false">IF('Raw IDs'!K12="","Not answered",IF('Raw IDs'!K12=0,"Not set (0)",'Raw IDs'!K12))</f>
        <v>2</v>
      </c>
      <c r="N12" s="2" t="str">
        <f aca="false">IF('Raw IDs'!L12="","Not answered",IFERROR(INDEX(Options!$C$2:$C$55,MATCH("home|"&amp;'Raw IDs'!L12,Options!$D$2:$D$55,0)),"Not set ("&amp;'Raw IDs'!L12&amp;")"))</f>
        <v>Not answered</v>
      </c>
      <c r="O12" s="2" t="str">
        <f aca="false">IF('Raw IDs'!M12="","Not answered",IFERROR(INDEX(Options!$C$2:$C$55,MATCH("takeout|"&amp;'Raw IDs'!M12,Options!$D$2:$D$55,0)),"Not set ("&amp;'Raw IDs'!M12&amp;")"))</f>
        <v>Not answered</v>
      </c>
      <c r="P12" s="2" t="str">
        <f aca="false">IF('Raw IDs'!N12="","Not answered",IFERROR(INDEX(Options!$C$2:$C$55,MATCH("yesno|"&amp;'Raw IDs'!N12,Options!$D$2:$D$55,0)),"Not set ("&amp;'Raw IDs'!N12&amp;")"))</f>
        <v>No</v>
      </c>
      <c r="Q12" s="2" t="str">
        <f aca="false">IF('Raw IDs'!O12="","Not answered",IFERROR(INDEX(Options!$C$2:$C$55,MATCH("yesno|"&amp;'Raw IDs'!O12,Options!$D$2:$D$55,0)),"Not set ("&amp;'Raw IDs'!O12&amp;")"))</f>
        <v>No</v>
      </c>
      <c r="R12" s="2" t="str">
        <f aca="false">IF('Raw IDs'!P12="","Not answered",IFERROR(INDEX(Options!$C$2:$C$55,MATCH("yesno|"&amp;'Raw IDs'!P12,Options!$D$2:$D$55,0)),"Not set ("&amp;'Raw IDs'!P12&amp;")"))</f>
        <v>No</v>
      </c>
      <c r="S12" s="2" t="str">
        <f aca="false">IF('Raw IDs'!Q12="","Not answered",IFERROR(INDEX(Options!$C$2:$C$55,MATCH("yesno|"&amp;'Raw IDs'!Q12,Options!$D$2:$D$55,0)),"Not set ("&amp;'Raw IDs'!Q12&amp;")"))</f>
        <v>Yes</v>
      </c>
      <c r="T12" s="2" t="str">
        <f aca="false">IF('Raw IDs'!R12="","Not answered",IFERROR(INDEX(Options!$C$2:$C$55,MATCH("yesno|"&amp;'Raw IDs'!R12,Options!$D$2:$D$55,0)),"Not set ("&amp;'Raw IDs'!R12&amp;")"))</f>
        <v>Yes</v>
      </c>
      <c r="U12" s="2" t="str">
        <f aca="false">IF('Raw IDs'!S12="","Not answered",IFERROR(INDEX(Options!$C$2:$C$55,MATCH("seriousness|"&amp;'Raw IDs'!S12,Options!$D$2:$D$55,0)),"Not set ("&amp;'Raw IDs'!S12&amp;")"))</f>
        <v>Motivated</v>
      </c>
      <c r="V12" s="2" t="str">
        <f aca="false">'Raw IDs'!T12</f>
        <v>2025-08-03</v>
      </c>
    </row>
    <row r="13" customFormat="false" ht="15" hidden="false" customHeight="false" outlineLevel="0" collapsed="false">
      <c r="A13" s="2" t="str">
        <f aca="false">'Raw IDs'!A13</f>
        <v>m12</v>
      </c>
      <c r="B13" s="3" t="str">
        <f aca="false">INDEX('ID key'!$C$2:$C$13,MATCH($A13,'ID key'!$A$2:$A$13,0))&amp;" "&amp;INDEX('ID key'!$D$2:$D$13,MATCH($A13,'ID key'!$A$2:$A$13,0))</f>
        <v>Ozlem Koroglu</v>
      </c>
      <c r="C13" s="4" t="str">
        <f aca="false">IFERROR(INDEX('Member goals'!$E$2:$E$26,MATCH($A13&amp;"|1",'Member goals'!$G$2:$G$26,0)),"Not provided")</f>
        <v>Not provided</v>
      </c>
      <c r="D13" s="2" t="str">
        <f aca="false">IF('Raw IDs'!B13="","Not answered",IFERROR(INDEX(Options!$C$2:$C$55,MATCH("freq|"&amp;'Raw IDs'!B13,Options!$D$2:$D$55,0)),"Not set ("&amp;'Raw IDs'!B13&amp;")"))</f>
        <v>3-4 times / week</v>
      </c>
      <c r="E13" s="2" t="str">
        <f aca="false">IF('Raw IDs'!C13="","Not answered",IFERROR(INDEX(Options!$C$2:$C$55,MATCH("time|"&amp;'Raw IDs'!C13,Options!$D$2:$D$55,0)),"Not set ("&amp;'Raw IDs'!C13&amp;")"))</f>
        <v>Less than a year</v>
      </c>
      <c r="F13" s="2" t="str">
        <f aca="false">IF('Raw IDs'!D13="","Not answered",IFERROR(INDEX(Options!$C$2:$C$55,MATCH("smoke|"&amp;'Raw IDs'!D13,Options!$D$2:$D$55,0)),"Not set ("&amp;'Raw IDs'!D13&amp;")"))</f>
        <v>Social / Occasional</v>
      </c>
      <c r="G13" s="2" t="str">
        <f aca="false">IF('Raw IDs'!E13="","Not answered",IFERROR(INDEX(Options!$C$2:$C$55,MATCH("alcohol|"&amp;'Raw IDs'!E13,Options!$D$2:$D$55,0)),"Not set ("&amp;'Raw IDs'!E13&amp;")"))</f>
        <v>Occasionally</v>
      </c>
      <c r="H13" s="2" t="str">
        <f aca="false">IF('Raw IDs'!F13="","Not answered",IFERROR(INDEX(Options!$C$2:$C$55,MATCH("work|"&amp;'Raw IDs'!F13,Options!$D$2:$D$55,0)),"Not set ("&amp;'Raw IDs'!F13&amp;")"))</f>
        <v>Not set (0)</v>
      </c>
      <c r="I13" s="2" t="str">
        <f aca="false">IF('Raw IDs'!G13="","Not answered",'Raw IDs'!G13)</f>
        <v>Not answered</v>
      </c>
      <c r="J13" s="2" t="str">
        <f aca="false">IF('Raw IDs'!H13="","Not answered",IFERROR(INDEX(Options!$C$2:$C$55,MATCH("stress|"&amp;'Raw IDs'!H13,Options!$D$2:$D$55,0)),"Not set ("&amp;'Raw IDs'!H13&amp;")"))</f>
        <v>Manageable</v>
      </c>
      <c r="K13" s="2" t="str">
        <f aca="false">IF('Raw IDs'!I13="","Not answered",IFERROR(INDEX(Options!$C$2:$C$55,MATCH("sleep|"&amp;'Raw IDs'!I13,Options!$D$2:$D$55,0)),"Not set ("&amp;'Raw IDs'!I13&amp;")"))</f>
        <v>7 or more</v>
      </c>
      <c r="L13" s="2" t="str">
        <f aca="false">IF('Raw IDs'!J13="","Not answered",IFERROR(INDEX(Options!$C$2:$C$55,MATCH("diet|"&amp;'Raw IDs'!J13,Options!$D$2:$D$55,0)),"Not set ("&amp;'Raw IDs'!J13&amp;")"))</f>
        <v>Balanced</v>
      </c>
      <c r="M13" s="2" t="n">
        <f aca="false">IF('Raw IDs'!K13="","Not answered",IF('Raw IDs'!K13=0,"Not set (0)",'Raw IDs'!K13))</f>
        <v>2</v>
      </c>
      <c r="N13" s="2" t="str">
        <f aca="false">IF('Raw IDs'!L13="","Not answered",IFERROR(INDEX(Options!$C$2:$C$55,MATCH("home|"&amp;'Raw IDs'!L13,Options!$D$2:$D$55,0)),"Not set ("&amp;'Raw IDs'!L13&amp;")"))</f>
        <v>Not answered</v>
      </c>
      <c r="O13" s="2" t="str">
        <f aca="false">IF('Raw IDs'!M13="","Not answered",IFERROR(INDEX(Options!$C$2:$C$55,MATCH("takeout|"&amp;'Raw IDs'!M13,Options!$D$2:$D$55,0)),"Not set ("&amp;'Raw IDs'!M13&amp;")"))</f>
        <v>Not answered</v>
      </c>
      <c r="P13" s="2" t="str">
        <f aca="false">IF('Raw IDs'!N13="","Not answered",IFERROR(INDEX(Options!$C$2:$C$55,MATCH("yesno|"&amp;'Raw IDs'!N13,Options!$D$2:$D$55,0)),"Not set ("&amp;'Raw IDs'!N13&amp;")"))</f>
        <v>No</v>
      </c>
      <c r="Q13" s="2" t="str">
        <f aca="false">IF('Raw IDs'!O13="","Not answered",IFERROR(INDEX(Options!$C$2:$C$55,MATCH("yesno|"&amp;'Raw IDs'!O13,Options!$D$2:$D$55,0)),"Not set ("&amp;'Raw IDs'!O13&amp;")"))</f>
        <v>No</v>
      </c>
      <c r="R13" s="2" t="str">
        <f aca="false">IF('Raw IDs'!P13="","Not answered",IFERROR(INDEX(Options!$C$2:$C$55,MATCH("yesno|"&amp;'Raw IDs'!P13,Options!$D$2:$D$55,0)),"Not set ("&amp;'Raw IDs'!P13&amp;")"))</f>
        <v>No</v>
      </c>
      <c r="S13" s="2" t="str">
        <f aca="false">IF('Raw IDs'!Q13="","Not answered",IFERROR(INDEX(Options!$C$2:$C$55,MATCH("yesno|"&amp;'Raw IDs'!Q13,Options!$D$2:$D$55,0)),"Not set ("&amp;'Raw IDs'!Q13&amp;")"))</f>
        <v>Yes</v>
      </c>
      <c r="T13" s="2" t="str">
        <f aca="false">IF('Raw IDs'!R13="","Not answered",IFERROR(INDEX(Options!$C$2:$C$55,MATCH("yesno|"&amp;'Raw IDs'!R13,Options!$D$2:$D$55,0)),"Not set ("&amp;'Raw IDs'!R13&amp;")"))</f>
        <v>No</v>
      </c>
      <c r="U13" s="2" t="str">
        <f aca="false">IF('Raw IDs'!S13="","Not answered",IFERROR(INDEX(Options!$C$2:$C$55,MATCH("seriousness|"&amp;'Raw IDs'!S13,Options!$D$2:$D$55,0)),"Not set ("&amp;'Raw IDs'!S13&amp;")"))</f>
        <v>4</v>
      </c>
      <c r="V13" s="2" t="str">
        <f aca="false">'Raw IDs'!T13</f>
        <v>2025-08-03</v>
      </c>
    </row>
    <row r="18" customFormat="false" ht="15" hidden="false" customHeight="false" outlineLevel="0" collapsed="false">
      <c r="A18" s="5" t="s">
        <v>22</v>
      </c>
    </row>
    <row r="19" customFormat="false" ht="15" hidden="false" customHeight="false" outlineLevel="0" collapsed="false">
      <c r="A19" s="6" t="s">
        <v>23</v>
      </c>
    </row>
    <row r="20" customFormat="false" ht="15" hidden="false" customHeight="false" outlineLevel="0" collapsed="false">
      <c r="A20" s="6" t="s">
        <v>24</v>
      </c>
    </row>
    <row r="21" customFormat="false" ht="15" hidden="false" customHeight="false" outlineLevel="0" collapsed="false">
      <c r="A21" s="6" t="s">
        <v>25</v>
      </c>
    </row>
    <row r="22" customFormat="false" ht="15" hidden="false" customHeight="false" outlineLevel="0" collapsed="false">
      <c r="A22" s="6" t="s">
        <v>26</v>
      </c>
    </row>
    <row r="23" customFormat="false" ht="15" hidden="false" customHeight="false" outlineLevel="0" collapsed="false">
      <c r="A23" s="6" t="s">
        <v>27</v>
      </c>
    </row>
    <row r="24" customFormat="false" ht="15" hidden="false" customHeight="false" outlineLevel="0" collapsed="false">
      <c r="A24" s="6" t="s">
        <v>28</v>
      </c>
    </row>
    <row r="25" customFormat="false" ht="15" hidden="false" customHeight="false" outlineLevel="0" collapsed="false">
      <c r="A25" s="6" t="s">
        <v>29</v>
      </c>
    </row>
    <row r="26" customFormat="false" ht="15" hidden="false" customHeight="false" outlineLevel="0" collapsed="false">
      <c r="A26" s="6" t="s">
        <v>30</v>
      </c>
    </row>
  </sheetData>
  <conditionalFormatting sqref="C2:V13">
    <cfRule type="expression" priority="2" aboveAverage="0" equalAverage="0" bottom="0" percent="0" rank="0" text="" dxfId="0">
      <formula>LEFT(C2,3)="Not"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8" min="3" style="0" width="14"/>
    <col collapsed="false" customWidth="true" hidden="false" outlineLevel="0" max="9" min="9" style="0" width="16"/>
    <col collapsed="false" customWidth="true" hidden="false" outlineLevel="0" max="10" min="10" style="0" width="14"/>
    <col collapsed="false" customWidth="true" hidden="false" outlineLevel="0" max="11" min="11" style="0" width="18"/>
    <col collapsed="false" customWidth="true" hidden="false" outlineLevel="0" max="12" min="12" style="0" width="26"/>
  </cols>
  <sheetData>
    <row r="1" customFormat="false" ht="42" hidden="false" customHeight="true" outlineLevel="0" collapsed="false">
      <c r="A1" s="1" t="s">
        <v>0</v>
      </c>
      <c r="B1" s="1" t="s">
        <v>1</v>
      </c>
      <c r="C1" s="1" t="s">
        <v>31</v>
      </c>
      <c r="D1" s="1" t="s">
        <v>32</v>
      </c>
      <c r="E1" s="1" t="s">
        <v>33</v>
      </c>
      <c r="F1" s="1" t="s">
        <v>34</v>
      </c>
      <c r="G1" s="1" t="s">
        <v>35</v>
      </c>
      <c r="H1" s="1" t="s">
        <v>36</v>
      </c>
      <c r="I1" s="1" t="s">
        <v>37</v>
      </c>
      <c r="J1" s="1" t="s">
        <v>38</v>
      </c>
      <c r="K1" s="1" t="s">
        <v>39</v>
      </c>
      <c r="L1" s="1" t="s">
        <v>2</v>
      </c>
    </row>
    <row r="2" customFormat="false" ht="15" hidden="false" customHeight="false" outlineLevel="0" collapsed="false">
      <c r="A2" s="7" t="str">
        <f aca="false">'Raw IDs'!A2</f>
        <v>m1</v>
      </c>
      <c r="B2" s="8" t="str">
        <f aca="false">'Wellness preferences'!B2</f>
        <v>Levent Soydaner</v>
      </c>
      <c r="C2" s="9" t="n">
        <v>1</v>
      </c>
      <c r="D2" s="9" t="n">
        <v>1</v>
      </c>
      <c r="E2" s="9" t="n">
        <v>1</v>
      </c>
      <c r="F2" s="9" t="n">
        <v>1</v>
      </c>
      <c r="G2" s="9" t="n">
        <v>0</v>
      </c>
      <c r="H2" s="9" t="n">
        <v>1</v>
      </c>
      <c r="I2" s="7" t="n">
        <f aca="false">SUM(C2:G2)</f>
        <v>4</v>
      </c>
      <c r="J2" s="7" t="str">
        <f aca="false">IF(AND(C2&lt;=C$15,D2&lt;=D$15,E2&lt;=E$15,F2&lt;=F$15,G2&lt;=G$15,H2&lt;=H$15),"Yes","No")</f>
        <v>Yes</v>
      </c>
      <c r="K2" s="7" t="str">
        <f aca="false">'Wellness preferences'!D2</f>
        <v>3-4 times / week</v>
      </c>
      <c r="L2" s="7" t="str">
        <f aca="false">'Wellness preferences'!C2</f>
        <v>Improve cardio performance</v>
      </c>
    </row>
    <row r="3" customFormat="false" ht="15" hidden="false" customHeight="false" outlineLevel="0" collapsed="false">
      <c r="A3" s="7" t="str">
        <f aca="false">'Raw IDs'!A3</f>
        <v>m2</v>
      </c>
      <c r="B3" s="8" t="str">
        <f aca="false">'Wellness preferences'!B3</f>
        <v>Veronika Masarskaya</v>
      </c>
      <c r="C3" s="9" t="n">
        <v>1</v>
      </c>
      <c r="D3" s="9" t="n">
        <v>0</v>
      </c>
      <c r="E3" s="9" t="n">
        <v>0</v>
      </c>
      <c r="F3" s="9" t="n">
        <v>0</v>
      </c>
      <c r="G3" s="9" t="n">
        <v>1</v>
      </c>
      <c r="H3" s="9" t="n">
        <v>0</v>
      </c>
      <c r="I3" s="7" t="n">
        <f aca="false">SUM(C3:G3)</f>
        <v>2</v>
      </c>
      <c r="J3" s="7" t="str">
        <f aca="false">IF(AND(C3&lt;=C$15,D3&lt;=D$15,E3&lt;=E$15,F3&lt;=F$15,G3&lt;=G$15,H3&lt;=H$15),"Yes","No")</f>
        <v>Yes</v>
      </c>
      <c r="K3" s="7" t="str">
        <f aca="false">'Wellness preferences'!D3</f>
        <v>1-2 times / week</v>
      </c>
      <c r="L3" s="7" t="str">
        <f aca="false">'Wellness preferences'!C3</f>
        <v>Weight loss</v>
      </c>
    </row>
    <row r="4" customFormat="false" ht="15" hidden="false" customHeight="false" outlineLevel="0" collapsed="false">
      <c r="A4" s="7" t="str">
        <f aca="false">'Raw IDs'!A4</f>
        <v>m3</v>
      </c>
      <c r="B4" s="8" t="str">
        <f aca="false">'Wellness preferences'!B4</f>
        <v>Elen Kost</v>
      </c>
      <c r="C4" s="9" t="n">
        <v>0</v>
      </c>
      <c r="D4" s="9" t="n">
        <v>1</v>
      </c>
      <c r="E4" s="9" t="n">
        <v>1</v>
      </c>
      <c r="F4" s="9" t="n">
        <v>1</v>
      </c>
      <c r="G4" s="9" t="n">
        <v>0</v>
      </c>
      <c r="H4" s="9" t="n">
        <v>2</v>
      </c>
      <c r="I4" s="7" t="n">
        <f aca="false">SUM(C4:G4)</f>
        <v>3</v>
      </c>
      <c r="J4" s="7" t="str">
        <f aca="false">IF(AND(C4&lt;=C$15,D4&lt;=D$15,E4&lt;=E$15,F4&lt;=F$15,G4&lt;=G$15,H4&lt;=H$15),"Yes","No")</f>
        <v>Yes</v>
      </c>
      <c r="K4" s="7" t="str">
        <f aca="false">'Wellness preferences'!D4</f>
        <v>3-4 times / week</v>
      </c>
      <c r="L4" s="7" t="str">
        <f aca="false">'Wellness preferences'!C4</f>
        <v>Muscle tone</v>
      </c>
    </row>
    <row r="5" customFormat="false" ht="15" hidden="false" customHeight="false" outlineLevel="0" collapsed="false">
      <c r="A5" s="7" t="str">
        <f aca="false">'Raw IDs'!A5</f>
        <v>m4</v>
      </c>
      <c r="B5" s="8" t="str">
        <f aca="false">'Wellness preferences'!B5</f>
        <v>Emma Arlemark</v>
      </c>
      <c r="C5" s="9" t="n">
        <v>0</v>
      </c>
      <c r="D5" s="9" t="n">
        <v>0</v>
      </c>
      <c r="E5" s="9" t="n">
        <v>1</v>
      </c>
      <c r="F5" s="9" t="n">
        <v>0</v>
      </c>
      <c r="G5" s="9" t="n">
        <v>0</v>
      </c>
      <c r="H5" s="9" t="n">
        <v>1</v>
      </c>
      <c r="I5" s="7" t="n">
        <f aca="false">SUM(C5:G5)</f>
        <v>1</v>
      </c>
      <c r="J5" s="7" t="str">
        <f aca="false">IF(AND(C5&lt;=C$15,D5&lt;=D$15,E5&lt;=E$15,F5&lt;=F$15,G5&lt;=G$15,H5&lt;=H$15),"Yes","No")</f>
        <v>Yes</v>
      </c>
      <c r="K5" s="7" t="str">
        <f aca="false">'Wellness preferences'!D5</f>
        <v>1-2 times / week</v>
      </c>
      <c r="L5" s="7" t="str">
        <f aca="false">'Wellness preferences'!C5</f>
        <v>Weight loss</v>
      </c>
    </row>
    <row r="6" customFormat="false" ht="15" hidden="false" customHeight="false" outlineLevel="0" collapsed="false">
      <c r="A6" s="7" t="str">
        <f aca="false">'Raw IDs'!A6</f>
        <v>m5</v>
      </c>
      <c r="B6" s="8" t="str">
        <f aca="false">'Wellness preferences'!B6</f>
        <v>Ria Juma</v>
      </c>
      <c r="C6" s="9" t="n">
        <v>1</v>
      </c>
      <c r="D6" s="9" t="n">
        <v>1</v>
      </c>
      <c r="E6" s="9" t="n">
        <v>0</v>
      </c>
      <c r="F6" s="9" t="n">
        <v>1</v>
      </c>
      <c r="G6" s="9" t="n">
        <v>1</v>
      </c>
      <c r="H6" s="9" t="n">
        <v>0</v>
      </c>
      <c r="I6" s="7" t="n">
        <f aca="false">SUM(C6:G6)</f>
        <v>4</v>
      </c>
      <c r="J6" s="7" t="str">
        <f aca="false">IF(AND(C6&lt;=C$15,D6&lt;=D$15,E6&lt;=E$15,F6&lt;=F$15,G6&lt;=G$15,H6&lt;=H$15),"Yes","No")</f>
        <v>Yes</v>
      </c>
      <c r="K6" s="7" t="str">
        <f aca="false">'Wellness preferences'!D6</f>
        <v>3-4 times / week</v>
      </c>
      <c r="L6" s="7" t="str">
        <f aca="false">'Wellness preferences'!C6</f>
        <v>Build strength</v>
      </c>
    </row>
    <row r="7" customFormat="false" ht="15" hidden="false" customHeight="false" outlineLevel="0" collapsed="false">
      <c r="A7" s="7" t="str">
        <f aca="false">'Raw IDs'!A7</f>
        <v>m6</v>
      </c>
      <c r="B7" s="8" t="str">
        <f aca="false">'Wellness preferences'!B7</f>
        <v>Maria Costanzo</v>
      </c>
      <c r="C7" s="9" t="n">
        <v>0</v>
      </c>
      <c r="D7" s="9" t="n">
        <v>2</v>
      </c>
      <c r="E7" s="9" t="n">
        <v>1</v>
      </c>
      <c r="F7" s="9" t="n">
        <v>0</v>
      </c>
      <c r="G7" s="9" t="n">
        <v>1</v>
      </c>
      <c r="H7" s="9" t="n">
        <v>1</v>
      </c>
      <c r="I7" s="7" t="n">
        <f aca="false">SUM(C7:G7)</f>
        <v>4</v>
      </c>
      <c r="J7" s="7" t="str">
        <f aca="false">IF(AND(C7&lt;=C$15,D7&lt;=D$15,E7&lt;=E$15,F7&lt;=F$15,G7&lt;=G$15,H7&lt;=H$15),"Yes","No")</f>
        <v>Yes</v>
      </c>
      <c r="K7" s="7" t="str">
        <f aca="false">'Wellness preferences'!D7</f>
        <v>3-4 times / week</v>
      </c>
      <c r="L7" s="7" t="str">
        <f aca="false">'Wellness preferences'!C7</f>
        <v>Muscle tone</v>
      </c>
    </row>
    <row r="8" customFormat="false" ht="15" hidden="false" customHeight="false" outlineLevel="0" collapsed="false">
      <c r="A8" s="7" t="str">
        <f aca="false">'Raw IDs'!A8</f>
        <v>m7</v>
      </c>
      <c r="B8" s="8" t="str">
        <f aca="false">'Wellness preferences'!B8</f>
        <v>Vinay Parmar</v>
      </c>
      <c r="C8" s="9" t="n">
        <v>1</v>
      </c>
      <c r="D8" s="9" t="n">
        <v>2</v>
      </c>
      <c r="E8" s="9" t="n">
        <v>1</v>
      </c>
      <c r="F8" s="9" t="n">
        <v>1</v>
      </c>
      <c r="G8" s="9" t="n">
        <v>0</v>
      </c>
      <c r="H8" s="9" t="n">
        <v>3</v>
      </c>
      <c r="I8" s="7" t="n">
        <f aca="false">SUM(C8:G8)</f>
        <v>5</v>
      </c>
      <c r="J8" s="7" t="str">
        <f aca="false">IF(AND(C8&lt;=C$15,D8&lt;=D$15,E8&lt;=E$15,F8&lt;=F$15,G8&lt;=G$15,H8&lt;=H$15),"Yes","No")</f>
        <v>Yes</v>
      </c>
      <c r="K8" s="7" t="str">
        <f aca="false">'Wellness preferences'!D8</f>
        <v>5-6 times / week</v>
      </c>
      <c r="L8" s="7" t="str">
        <f aca="false">'Wellness preferences'!C8</f>
        <v>Weight loss</v>
      </c>
    </row>
    <row r="9" customFormat="false" ht="15" hidden="false" customHeight="false" outlineLevel="0" collapsed="false">
      <c r="A9" s="7" t="str">
        <f aca="false">'Raw IDs'!A9</f>
        <v>m8</v>
      </c>
      <c r="B9" s="8" t="str">
        <f aca="false">'Wellness preferences'!B9</f>
        <v>Ruksana Hussain</v>
      </c>
      <c r="C9" s="9" t="n">
        <v>1</v>
      </c>
      <c r="D9" s="9" t="n">
        <v>1</v>
      </c>
      <c r="E9" s="9" t="n">
        <v>2</v>
      </c>
      <c r="F9" s="9" t="n">
        <v>2</v>
      </c>
      <c r="G9" s="9" t="n">
        <v>0</v>
      </c>
      <c r="H9" s="9" t="n">
        <v>2</v>
      </c>
      <c r="I9" s="7" t="n">
        <f aca="false">SUM(C9:G9)</f>
        <v>6</v>
      </c>
      <c r="J9" s="7" t="str">
        <f aca="false">IF(AND(C9&lt;=C$15,D9&lt;=D$15,E9&lt;=E$15,F9&lt;=F$15,G9&lt;=G$15,H9&lt;=H$15),"Yes","No")</f>
        <v>Yes</v>
      </c>
      <c r="K9" s="7" t="str">
        <f aca="false">'Wellness preferences'!D9</f>
        <v>5-6 times / week</v>
      </c>
      <c r="L9" s="7" t="str">
        <f aca="false">'Wellness preferences'!C9</f>
        <v>Weight loss</v>
      </c>
    </row>
    <row r="10" customFormat="false" ht="15" hidden="false" customHeight="false" outlineLevel="0" collapsed="false">
      <c r="A10" s="7" t="str">
        <f aca="false">'Raw IDs'!A10</f>
        <v>m9</v>
      </c>
      <c r="B10" s="8" t="str">
        <f aca="false">'Wellness preferences'!B10</f>
        <v>Asif Khokhar</v>
      </c>
      <c r="C10" s="9" t="n">
        <v>1</v>
      </c>
      <c r="D10" s="9" t="n">
        <v>0</v>
      </c>
      <c r="E10" s="9" t="n">
        <v>0</v>
      </c>
      <c r="F10" s="9" t="n">
        <v>1</v>
      </c>
      <c r="G10" s="9" t="n">
        <v>0</v>
      </c>
      <c r="H10" s="9" t="n">
        <v>0</v>
      </c>
      <c r="I10" s="7" t="n">
        <f aca="false">SUM(C10:G10)</f>
        <v>2</v>
      </c>
      <c r="J10" s="7" t="str">
        <f aca="false">IF(AND(C10&lt;=C$15,D10&lt;=D$15,E10&lt;=E$15,F10&lt;=F$15,G10&lt;=G$15,H10&lt;=H$15),"Yes","No")</f>
        <v>Yes</v>
      </c>
      <c r="K10" s="7" t="str">
        <f aca="false">'Wellness preferences'!D10</f>
        <v>1-2 times / week</v>
      </c>
      <c r="L10" s="7" t="str">
        <f aca="false">'Wellness preferences'!C10</f>
        <v>Not provided</v>
      </c>
    </row>
    <row r="11" customFormat="false" ht="15" hidden="false" customHeight="false" outlineLevel="0" collapsed="false">
      <c r="A11" s="7" t="str">
        <f aca="false">'Raw IDs'!A11</f>
        <v>m10</v>
      </c>
      <c r="B11" s="8" t="str">
        <f aca="false">'Wellness preferences'!B11</f>
        <v>Sadaf Hameed</v>
      </c>
      <c r="C11" s="9" t="n">
        <v>0</v>
      </c>
      <c r="D11" s="9" t="n">
        <v>1</v>
      </c>
      <c r="E11" s="9" t="n">
        <v>0</v>
      </c>
      <c r="F11" s="9" t="n">
        <v>0</v>
      </c>
      <c r="G11" s="9" t="n">
        <v>1</v>
      </c>
      <c r="H11" s="9" t="n">
        <v>1</v>
      </c>
      <c r="I11" s="7" t="n">
        <f aca="false">SUM(C11:G11)</f>
        <v>2</v>
      </c>
      <c r="J11" s="7" t="str">
        <f aca="false">IF(AND(C11&lt;=C$15,D11&lt;=D$15,E11&lt;=E$15,F11&lt;=F$15,G11&lt;=G$15,H11&lt;=H$15),"Yes","No")</f>
        <v>Yes</v>
      </c>
      <c r="K11" s="7" t="str">
        <f aca="false">'Wellness preferences'!D11</f>
        <v>1-2 times / week</v>
      </c>
      <c r="L11" s="7" t="str">
        <f aca="false">'Wellness preferences'!C11</f>
        <v>Not provided</v>
      </c>
    </row>
    <row r="12" customFormat="false" ht="15" hidden="false" customHeight="false" outlineLevel="0" collapsed="false">
      <c r="A12" s="7" t="str">
        <f aca="false">'Raw IDs'!A12</f>
        <v>m11</v>
      </c>
      <c r="B12" s="8" t="str">
        <f aca="false">'Wellness preferences'!B12</f>
        <v>Maryna Tykhonenko</v>
      </c>
      <c r="C12" s="9" t="n">
        <v>0</v>
      </c>
      <c r="D12" s="9" t="n">
        <v>0</v>
      </c>
      <c r="E12" s="9" t="n">
        <v>0</v>
      </c>
      <c r="F12" s="9" t="n">
        <v>0</v>
      </c>
      <c r="G12" s="9" t="n">
        <v>0</v>
      </c>
      <c r="H12" s="9" t="n">
        <v>0</v>
      </c>
      <c r="I12" s="7" t="n">
        <f aca="false">SUM(C12:G12)</f>
        <v>0</v>
      </c>
      <c r="J12" s="7" t="str">
        <f aca="false">IF(AND(C12&lt;=C$15,D12&lt;=D$15,E12&lt;=E$15,F12&lt;=F$15,G12&lt;=G$15,H12&lt;=H$15),"Yes","No")</f>
        <v>Yes</v>
      </c>
      <c r="K12" s="7" t="str">
        <f aca="false">'Wellness preferences'!D12</f>
        <v>Never</v>
      </c>
      <c r="L12" s="7" t="str">
        <f aca="false">'Wellness preferences'!C12</f>
        <v>Not provided</v>
      </c>
    </row>
    <row r="13" customFormat="false" ht="15" hidden="false" customHeight="false" outlineLevel="0" collapsed="false">
      <c r="A13" s="7" t="str">
        <f aca="false">'Raw IDs'!A13</f>
        <v>m12</v>
      </c>
      <c r="B13" s="8" t="str">
        <f aca="false">'Wellness preferences'!B13</f>
        <v>Ozlem Koroglu</v>
      </c>
      <c r="C13" s="9" t="n">
        <v>1</v>
      </c>
      <c r="D13" s="9" t="n">
        <v>0</v>
      </c>
      <c r="E13" s="9" t="n">
        <v>2</v>
      </c>
      <c r="F13" s="9" t="n">
        <v>1</v>
      </c>
      <c r="G13" s="9" t="n">
        <v>0</v>
      </c>
      <c r="H13" s="9" t="n">
        <v>0</v>
      </c>
      <c r="I13" s="7" t="n">
        <f aca="false">SUM(C13:G13)</f>
        <v>4</v>
      </c>
      <c r="J13" s="7" t="str">
        <f aca="false">IF(AND(C13&lt;=C$15,D13&lt;=D$15,E13&lt;=E$15,F13&lt;=F$15,G13&lt;=G$15,H13&lt;=H$15),"Yes","No")</f>
        <v>Yes</v>
      </c>
      <c r="K13" s="7" t="str">
        <f aca="false">'Wellness preferences'!D13</f>
        <v>3-4 times / week</v>
      </c>
      <c r="L13" s="7" t="str">
        <f aca="false">'Wellness preferences'!C13</f>
        <v>Not provided</v>
      </c>
    </row>
    <row r="15" customFormat="false" ht="15" hidden="false" customHeight="false" outlineLevel="0" collapsed="false">
      <c r="A15" s="5" t="s">
        <v>40</v>
      </c>
      <c r="C15" s="10" t="n">
        <v>1</v>
      </c>
      <c r="D15" s="10" t="n">
        <v>2</v>
      </c>
      <c r="E15" s="10" t="n">
        <v>2</v>
      </c>
      <c r="F15" s="10" t="n">
        <v>2</v>
      </c>
      <c r="G15" s="10" t="n">
        <v>2</v>
      </c>
      <c r="H15" s="10" t="n">
        <v>5</v>
      </c>
    </row>
    <row r="17" customFormat="false" ht="15" hidden="false" customHeight="false" outlineLevel="0" collapsed="false">
      <c r="A17" s="11" t="s">
        <v>41</v>
      </c>
    </row>
    <row r="18" customFormat="false" ht="15" hidden="false" customHeight="false" outlineLevel="0" collapsed="false">
      <c r="A18" s="6" t="s">
        <v>42</v>
      </c>
    </row>
    <row r="19" customFormat="false" ht="15" hidden="false" customHeight="false" outlineLevel="0" collapsed="false">
      <c r="A19" s="6"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7"/>
    <col collapsed="false" customWidth="true" hidden="false" outlineLevel="0" max="4" min="4" style="0" width="26"/>
    <col collapsed="false" customWidth="true" hidden="false" outlineLevel="0" max="5" min="5" style="0" width="20"/>
    <col collapsed="false" customWidth="true" hidden="false" outlineLevel="0" max="6" min="6" style="0" width="18"/>
    <col collapsed="false" customWidth="true" hidden="false" outlineLevel="0" max="8" min="7" style="0" width="16"/>
    <col collapsed="false" customWidth="true" hidden="false" outlineLevel="0" max="9" min="9" style="0" width="14"/>
    <col collapsed="false" customWidth="true" hidden="false" outlineLevel="0" max="10" min="10" style="0" width="10"/>
    <col collapsed="false" customWidth="true" hidden="false" outlineLevel="0" max="12" min="11" style="0" width="16"/>
    <col collapsed="false" customWidth="true" hidden="false" outlineLevel="0" max="15" min="13" style="0" width="10"/>
    <col collapsed="false" customWidth="true" hidden="false" outlineLevel="0" max="18" min="16" style="0" width="12"/>
    <col collapsed="false" customWidth="true" hidden="false" outlineLevel="0" max="19" min="19" style="0" width="60"/>
    <col collapsed="false" customWidth="true" hidden="false" outlineLevel="0" max="20" min="20" style="0" width="18"/>
    <col collapsed="false" customWidth="true" hidden="false" outlineLevel="0" max="21" min="21" style="0" width="60"/>
    <col collapsed="false" customWidth="true" hidden="false" outlineLevel="0" max="22" min="22" style="0" width="18"/>
    <col collapsed="false" customWidth="true" hidden="false" outlineLevel="0" max="23" min="23" style="0" width="16"/>
  </cols>
  <sheetData>
    <row r="1" customFormat="false" ht="42" hidden="false" customHeight="true" outlineLevel="0" collapsed="false">
      <c r="A1" s="1" t="s">
        <v>0</v>
      </c>
      <c r="B1" s="1" t="s">
        <v>44</v>
      </c>
      <c r="C1" s="1" t="s">
        <v>45</v>
      </c>
      <c r="D1" s="1" t="s">
        <v>46</v>
      </c>
      <c r="E1" s="1" t="s">
        <v>47</v>
      </c>
      <c r="F1" s="1" t="s">
        <v>48</v>
      </c>
      <c r="G1" s="1" t="s">
        <v>49</v>
      </c>
      <c r="H1" s="1" t="s">
        <v>50</v>
      </c>
      <c r="I1" s="1" t="s">
        <v>51</v>
      </c>
      <c r="J1" s="1" t="s">
        <v>52</v>
      </c>
      <c r="K1" s="1" t="s">
        <v>53</v>
      </c>
      <c r="L1" s="1" t="s">
        <v>54</v>
      </c>
      <c r="M1" s="1" t="s">
        <v>31</v>
      </c>
      <c r="N1" s="1" t="s">
        <v>32</v>
      </c>
      <c r="O1" s="1" t="s">
        <v>33</v>
      </c>
      <c r="P1" s="1" t="s">
        <v>34</v>
      </c>
      <c r="Q1" s="1" t="s">
        <v>35</v>
      </c>
      <c r="R1" s="1" t="s">
        <v>36</v>
      </c>
      <c r="S1" s="1" t="s">
        <v>55</v>
      </c>
      <c r="T1" s="1" t="s">
        <v>56</v>
      </c>
      <c r="U1" s="1" t="s">
        <v>57</v>
      </c>
      <c r="V1" s="1" t="s">
        <v>58</v>
      </c>
      <c r="W1" s="1" t="s">
        <v>59</v>
      </c>
    </row>
    <row r="2" customFormat="false" ht="449.25" hidden="false" customHeight="false" outlineLevel="0" collapsed="false">
      <c r="A2" s="12" t="str">
        <f aca="false">'Raw IDs'!A2</f>
        <v>m1</v>
      </c>
      <c r="B2" s="13" t="s">
        <v>60</v>
      </c>
      <c r="C2" s="13" t="n">
        <v>42</v>
      </c>
      <c r="D2" s="14" t="str">
        <f aca="false">'Wellness preferences'!C2</f>
        <v>Improve cardio performance</v>
      </c>
      <c r="E2" s="15"/>
      <c r="F2" s="14" t="str">
        <f aca="false">'Wellness preferences'!D2</f>
        <v>3-4 times / week</v>
      </c>
      <c r="G2" s="14" t="str">
        <f aca="false">'Wellness preferences'!E2</f>
        <v>1-3 years</v>
      </c>
      <c r="H2" s="15"/>
      <c r="I2" s="15"/>
      <c r="J2" s="12" t="str">
        <f aca="false">'Wellness preferences'!F2</f>
        <v>No</v>
      </c>
      <c r="K2" s="12" t="str">
        <f aca="false">'Wellness preferences'!G2</f>
        <v>Occasionally</v>
      </c>
      <c r="L2" s="16"/>
      <c r="M2" s="12" t="n">
        <f aca="false">'Last week attendance'!C2</f>
        <v>1</v>
      </c>
      <c r="N2" s="12" t="n">
        <f aca="false">'Last week attendance'!D2</f>
        <v>1</v>
      </c>
      <c r="O2" s="12" t="n">
        <f aca="false">'Last week attendance'!E2</f>
        <v>1</v>
      </c>
      <c r="P2" s="12" t="n">
        <f aca="false">'Last week attendance'!F2</f>
        <v>1</v>
      </c>
      <c r="Q2" s="12" t="n">
        <f aca="false">'Last week attendance'!G2</f>
        <v>0</v>
      </c>
      <c r="R2" s="12" t="n">
        <f aca="false">'Last week attendance'!H2</f>
        <v>1</v>
      </c>
      <c r="S2" s="17" t="str">
        <f aca="false">'Prompt template'!$A$2&amp;CHAR(10)&amp;CHAR(10)&amp;"[MEMBER'S PROFILE]"&amp;CHAR(10)&amp;"Gender: "&amp;IF(B2="","Not provided",B2)&amp;CHAR(10)&amp;"Age: "&amp;IF(C2="","Not provided",C2)&amp;CHAR(10)&amp;CHAR(10)&amp;"*MEMBER'S WELLNESS QUESTIONAIRE DATA*"&amp;CHAR(10)&amp;CHAR(10)&amp;"Fitness goal: "&amp;IF(D2="","Not provided",D2)&amp;CHAR(10)&amp;CHAR(10)&amp;"Current activities: "&amp;IF(E2="","Not provided",E2)&amp;CHAR(10)&amp;"Exercise frequency: "&amp;IF(F2="","Not provided",F2)&amp;CHAR(10)&amp;"Active: "&amp;IF(G2="","Not provided",G2)&amp;CHAR(10)&amp;"Conditions: "&amp;IF(H2="","Not provided",H2)&amp;CHAR(10)&amp;"Medications: "&amp;IF(I2="","Not provided",I2)&amp;CHAR(10)&amp;"Smoker: "&amp;IF(J2="","Not provided",J2)&amp;CHAR(10)&amp;"Alcohol consumption: "&amp;IF(K2="","Not provided",K2)&amp;CHAR(10)&amp;"Medical treatment: "&amp;IF(L2="","Not provided",L2)&amp;CHAR(10)&amp;CHAR(10)&amp;"*LAST WEEKS SESSIONS*"&amp;CHAR(10)&amp;"Cardio="&amp;M2&amp;CHAR(10)&amp;"Strength="&amp;N2&amp;CHAR(10)&amp;"Shape="&amp;O2&amp;CHAR(10)&amp;"Strength &amp; Conditioning="&amp;P2&amp;CHAR(10)&amp;"Wellness="&amp;Q2&amp;CHAR(10)&amp;"Red Light Therapy="&amp;R2</f>
        <v>[INSTRUCTIONS]
You are a seasoned fitness consultant. You will take the following member profile and suggest their booking session goals for the next coming week and suggest how many sessions from the [CONTEXT] they need to book in order to progress in their stated fitness goal. Note that some Classes have max 1/2 sessions slots per week.
[CONTEXT]
Cardio Sessions (1 slot/week) - 50min Session. feature powerful exercise sequences performed at speed and combining bodyweight, freestanding equipment and machines. Work more, rest less, pushing your calorie burn to the max.
Strength (2 slot/week) - 50min Session. Utilizes resistance training, time under tension and functional drop sets to develop your muscle density and mobility. Perform controlled exercises and focus on technique and expanding your range of movement.
Shape (2 slot/week) - 50min Session. Combines cardio and strength training through a mix of controlled, consistent high tempo movements. Build muscular endurance, reduce body imbalance and burn calories, while also lighting up your cardiovascular system.
Strength &amp; Conditioning (2 slot/week) - 50min Session. Dynamic sequences combining power, endurance, and functional performance. Expect full body movement patterns and conditioning intervals that challenge your strength, coordination, and stamina while improving overall physical capacity.
Wellness (2 slot/week) - 30min/50min Sessions. Designed to enhance mobility, flexibility, and overall wellbeing. Slow the pace, reconnect with your body, and restore balance through mindful movement and guided mobility work.
Red Light Therapy (5 slots/week) - 10min Sessions. Boost recovery, improve skin health, and reduce inflammation with our red light therapy sessions. A quick and effective way to help your body recharge and heal faster. Pre or post workout has equal benefits.
[MEMBER'S PROFILE]
Gender: Female
Age: 42
*MEMBER'S WELLNESS QUESTIONAIRE DATA*
Fitness goal: Improve cardio performance
Current activities: Not provided
Exercise frequency: 3-4 times / week
Active: 1-3 years
Conditions: Not provided
Medications: Not provided
Smoker: No
Alcohol consumption: Occasionally
Medical treatment: Not provided
*LAST WEEKS SESSIONS*
Cardio=1
Strength=1
Shape=1
Strength &amp; Conditioning=1
Wellness=0
Red Light Therapy=1</v>
      </c>
      <c r="T2" s="12" t="n">
        <f aca="false">ROUND(LEN(S2)/4,0)</f>
        <v>577</v>
      </c>
      <c r="U2" s="17" t="str">
        <f aca="false">'Prompt template (optimized)'!$A$2&amp;CHAR(10)&amp;CHAR(10)&amp;"Member:"&amp;IF(AND(B2="",C2=""),"",CHAR(10)&amp;"Profile: "&amp;_xlfn.TEXTJOIN(", ",TRUE(),B2,C2))&amp;IF(OR(D2="",LEFT(D2,3)="Not"),"",CHAR(10)&amp;"Goal: "&amp;D2)&amp;IF(OR(E2="",LEFT(E2,3)="Not"),"",CHAR(10)&amp;"Activities: "&amp;E2)&amp;IF(OR(F2="",LEFT(F2,3)="Not"),"",CHAR(10)&amp;"Exercise frequency: "&amp;F2)&amp;IF(OR(G2="",LEFT(G2,3)="Not"),"",CHAR(10)&amp;"Training history: "&amp;G2)&amp;IF(OR(H2="",LEFT(H2,3)="Not"),"",CHAR(10)&amp;"Conditions: "&amp;H2)&amp;IF(OR(I2="",LEFT(I2,3)="Not"),"",CHAR(10)&amp;"Medications: "&amp;I2)&amp;IF(OR(L2="",LEFT(L2,3)="Not"),"",CHAR(10)&amp;"Medical treatment: "&amp;L2)&amp;IF(OR(J2="",LEFT(J2,3)="Not"),"",CHAR(10)&amp;"Smoker: "&amp;J2)&amp;IF(OR(K2="",LEFT(K2,3)="Not"),"",CHAR(10)&amp;"Alcohol: "&amp;K2)&amp;CHAR(10)&amp;"Last week: "&amp;"Cardio="&amp;M2&amp;", "&amp;"Strength="&amp;N2&amp;", "&amp;"Shape="&amp;O2&amp;", "&amp;"Strength &amp; Conditioning="&amp;P2&amp;", "&amp;"Wellness="&amp;Q2&amp;", "&amp;"Red Light Therapy="&amp;R2&amp;CHAR(10)&amp;CHAR(10)&amp;'Prompt template (optimized)'!$A$5</f>
        <v>You are a fitness consultant. Plan the member's class bookings for next week so they progress toward their stated goal.
Weekly slot caps (never exceed): Cardio 1, Strength 2, Shape 2, Strength &amp; Conditioning 2, Wellness 2, Red Light Therapy 5.
Classes:
- Cardio: high-intensity intervals (bodyweight, equipment, machines); maximum calorie burn.
- Strength: resistance training and time under tension; muscle density, mobility, technique.
- Shape: high-tempo cardio and strength mix; muscular endurance, body balance, calorie burn.
- Strength &amp; Conditioning: power, endurance and functional full-body conditioning; stamina, coordination.
- Wellness: mobility, flexibility and mindful recovery.
- Red Light Therapy: 10-minute recovery session, before or after a workout; recovery, skin, inflammation.
Rules:
- Use whole numbers from 0 up to each cap.
- Use last week's sessions as the baseline and progress toward the goal without a sudden jump.
- Keep the total realistic for the member's exercise frequency, health and recovery.
Member:
Profile: Female, 42
Goal: Improve cardio performance
Exercise frequency: 3-4 times / week
Training history: 1-3 years
Smoker: No
Alcohol: Occasionally
Last week: Cardio=1, Strength=1, Shape=1, Strength &amp; Conditioning=1, Wellness=0, Red Light Therapy=1
Answer with JSON only, no other text: {"Cardio":#,"Strength":#,"Shape":#,"Strength &amp; Conditioning":#,"Wellness":#,"Red Light Therapy":#}</v>
      </c>
      <c r="V2" s="12" t="n">
        <f aca="false">ROUND(LEN(U2)/4,0)</f>
        <v>358</v>
      </c>
      <c r="W2" s="12" t="n">
        <f aca="false">T2-V2</f>
        <v>219</v>
      </c>
    </row>
    <row r="3" customFormat="false" ht="449.25" hidden="false" customHeight="false" outlineLevel="0" collapsed="false">
      <c r="A3" s="12" t="str">
        <f aca="false">'Raw IDs'!A3</f>
        <v>m2</v>
      </c>
      <c r="B3" s="13" t="s">
        <v>60</v>
      </c>
      <c r="C3" s="13" t="n">
        <v>36</v>
      </c>
      <c r="D3" s="14" t="str">
        <f aca="false">'Wellness preferences'!C3</f>
        <v>Weight loss</v>
      </c>
      <c r="E3" s="15"/>
      <c r="F3" s="14" t="str">
        <f aca="false">'Wellness preferences'!D3</f>
        <v>1-2 times / week</v>
      </c>
      <c r="G3" s="14" t="str">
        <f aca="false">'Wellness preferences'!E3</f>
        <v>3+ years</v>
      </c>
      <c r="H3" s="15"/>
      <c r="I3" s="15"/>
      <c r="J3" s="12" t="str">
        <f aca="false">'Wellness preferences'!F3</f>
        <v>No</v>
      </c>
      <c r="K3" s="12" t="str">
        <f aca="false">'Wellness preferences'!G3</f>
        <v>Never</v>
      </c>
      <c r="L3" s="16"/>
      <c r="M3" s="12" t="n">
        <f aca="false">'Last week attendance'!C3</f>
        <v>1</v>
      </c>
      <c r="N3" s="12" t="n">
        <f aca="false">'Last week attendance'!D3</f>
        <v>0</v>
      </c>
      <c r="O3" s="12" t="n">
        <f aca="false">'Last week attendance'!E3</f>
        <v>0</v>
      </c>
      <c r="P3" s="12" t="n">
        <f aca="false">'Last week attendance'!F3</f>
        <v>0</v>
      </c>
      <c r="Q3" s="12" t="n">
        <f aca="false">'Last week attendance'!G3</f>
        <v>1</v>
      </c>
      <c r="R3" s="12" t="n">
        <f aca="false">'Last week attendance'!H3</f>
        <v>0</v>
      </c>
      <c r="S3" s="17" t="str">
        <f aca="false">'Prompt template'!$A$2&amp;CHAR(10)&amp;CHAR(10)&amp;"[MEMBER'S PROFILE]"&amp;CHAR(10)&amp;"Gender: "&amp;IF(B3="","Not provided",B3)&amp;CHAR(10)&amp;"Age: "&amp;IF(C3="","Not provided",C3)&amp;CHAR(10)&amp;CHAR(10)&amp;"*MEMBER'S WELLNESS QUESTIONAIRE DATA*"&amp;CHAR(10)&amp;CHAR(10)&amp;"Fitness goal: "&amp;IF(D3="","Not provided",D3)&amp;CHAR(10)&amp;CHAR(10)&amp;"Current activities: "&amp;IF(E3="","Not provided",E3)&amp;CHAR(10)&amp;"Exercise frequency: "&amp;IF(F3="","Not provided",F3)&amp;CHAR(10)&amp;"Active: "&amp;IF(G3="","Not provided",G3)&amp;CHAR(10)&amp;"Conditions: "&amp;IF(H3="","Not provided",H3)&amp;CHAR(10)&amp;"Medications: "&amp;IF(I3="","Not provided",I3)&amp;CHAR(10)&amp;"Smoker: "&amp;IF(J3="","Not provided",J3)&amp;CHAR(10)&amp;"Alcohol consumption: "&amp;IF(K3="","Not provided",K3)&amp;CHAR(10)&amp;"Medical treatment: "&amp;IF(L3="","Not provided",L3)&amp;CHAR(10)&amp;CHAR(10)&amp;"*LAST WEEKS SESSIONS*"&amp;CHAR(10)&amp;"Cardio="&amp;M3&amp;CHAR(10)&amp;"Strength="&amp;N3&amp;CHAR(10)&amp;"Shape="&amp;O3&amp;CHAR(10)&amp;"Strength &amp; Conditioning="&amp;P3&amp;CHAR(10)&amp;"Wellness="&amp;Q3&amp;CHAR(10)&amp;"Red Light Therapy="&amp;R3</f>
        <v>[INSTRUCTIONS]
You are a seasoned fitness consultant. You will take the following member profile and suggest their booking session goals for the next coming week and suggest how many sessions from the [CONTEXT] they need to book in order to progress in their stated fitness goal. Note that some Classes have max 1/2 sessions slots per week.
[CONTEXT]
Cardio Sessions (1 slot/week) - 50min Session. feature powerful exercise sequences performed at speed and combining bodyweight, freestanding equipment and machines. Work more, rest less, pushing your calorie burn to the max.
Strength (2 slot/week) - 50min Session. Utilizes resistance training, time under tension and functional drop sets to develop your muscle density and mobility. Perform controlled exercises and focus on technique and expanding your range of movement.
Shape (2 slot/week) - 50min Session. Combines cardio and strength training through a mix of controlled, consistent high tempo movements. Build muscular endurance, reduce body imbalance and burn calories, while also lighting up your cardiovascular system.
Strength &amp; Conditioning (2 slot/week) - 50min Session. Dynamic sequences combining power, endurance, and functional performance. Expect full body movement patterns and conditioning intervals that challenge your strength, coordination, and stamina while improving overall physical capacity.
Wellness (2 slot/week) - 30min/50min Sessions. Designed to enhance mobility, flexibility, and overall wellbeing. Slow the pace, reconnect with your body, and restore balance through mindful movement and guided mobility work.
Red Light Therapy (5 slots/week) - 10min Sessions. Boost recovery, improve skin health, and reduce inflammation with our red light therapy sessions. A quick and effective way to help your body recharge and heal faster. Pre or post workout has equal benefits.
[MEMBER'S PROFILE]
Gender: Female
Age: 36
*MEMBER'S WELLNESS QUESTIONAIRE DATA*
Fitness goal: Weight loss
Current activities: Not provided
Exercise frequency: 1-2 times / week
Active: 3+ years
Conditions: Not provided
Medications: Not provided
Smoker: No
Alcohol consumption: Never
Medical treatment: Not provided
*LAST WEEKS SESSIONS*
Cardio=1
Strength=0
Shape=0
Strength &amp; Conditioning=0
Wellness=1
Red Light Therapy=0</v>
      </c>
      <c r="T3" s="12" t="n">
        <f aca="false">ROUND(LEN(S3)/4,0)</f>
        <v>571</v>
      </c>
      <c r="U3" s="17" t="str">
        <f aca="false">'Prompt template (optimized)'!$A$2&amp;CHAR(10)&amp;CHAR(10)&amp;"Member:"&amp;IF(AND(B3="",C3=""),"",CHAR(10)&amp;"Profile: "&amp;_xlfn.TEXTJOIN(", ",TRUE(),B3,C3))&amp;IF(OR(D3="",LEFT(D3,3)="Not"),"",CHAR(10)&amp;"Goal: "&amp;D3)&amp;IF(OR(E3="",LEFT(E3,3)="Not"),"",CHAR(10)&amp;"Activities: "&amp;E3)&amp;IF(OR(F3="",LEFT(F3,3)="Not"),"",CHAR(10)&amp;"Exercise frequency: "&amp;F3)&amp;IF(OR(G3="",LEFT(G3,3)="Not"),"",CHAR(10)&amp;"Training history: "&amp;G3)&amp;IF(OR(H3="",LEFT(H3,3)="Not"),"",CHAR(10)&amp;"Conditions: "&amp;H3)&amp;IF(OR(I3="",LEFT(I3,3)="Not"),"",CHAR(10)&amp;"Medications: "&amp;I3)&amp;IF(OR(L3="",LEFT(L3,3)="Not"),"",CHAR(10)&amp;"Medical treatment: "&amp;L3)&amp;IF(OR(J3="",LEFT(J3,3)="Not"),"",CHAR(10)&amp;"Smoker: "&amp;J3)&amp;IF(OR(K3="",LEFT(K3,3)="Not"),"",CHAR(10)&amp;"Alcohol: "&amp;K3)&amp;CHAR(10)&amp;"Last week: "&amp;"Cardio="&amp;M3&amp;", "&amp;"Strength="&amp;N3&amp;", "&amp;"Shape="&amp;O3&amp;", "&amp;"Strength &amp; Conditioning="&amp;P3&amp;", "&amp;"Wellness="&amp;Q3&amp;", "&amp;"Red Light Therapy="&amp;R3&amp;CHAR(10)&amp;CHAR(10)&amp;'Prompt template (optimized)'!$A$5</f>
        <v>You are a fitness consultant. Plan the member's class bookings for next week so they progress toward their stated goal.
Weekly slot caps (never exceed): Cardio 1, Strength 2, Shape 2, Strength &amp; Conditioning 2, Wellness 2, Red Light Therapy 5.
Classes:
- Cardio: high-intensity intervals (bodyweight, equipment, machines); maximum calorie burn.
- Strength: resistance training and time under tension; muscle density, mobility, technique.
- Shape: high-tempo cardio and strength mix; muscular endurance, body balance, calorie burn.
- Strength &amp; Conditioning: power, endurance and functional full-body conditioning; stamina, coordination.
- Wellness: mobility, flexibility and mindful recovery.
- Red Light Therapy: 10-minute recovery session, before or after a workout; recovery, skin, inflammation.
Rules:
- Use whole numbers from 0 up to each cap.
- Use last week's sessions as the baseline and progress toward the goal without a sudden jump.
- Keep the total realistic for the member's exercise frequency, health and recovery.
Member:
Profile: Female, 36
Goal: Weight loss
Exercise frequency: 1-2 times / week
Training history: 3+ years
Smoker: No
Alcohol: Never
Last week: Cardio=1, Strength=0, Shape=0, Strength &amp; Conditioning=0, Wellness=1, Red Light Therapy=0
Answer with JSON only, no other text: {"Cardio":#,"Strength":#,"Shape":#,"Strength &amp; Conditioning":#,"Wellness":#,"Red Light Therapy":#}</v>
      </c>
      <c r="V3" s="12" t="n">
        <f aca="false">ROUND(LEN(U3)/4,0)</f>
        <v>352</v>
      </c>
      <c r="W3" s="12" t="n">
        <f aca="false">T3-V3</f>
        <v>219</v>
      </c>
    </row>
    <row r="4" customFormat="false" ht="449.25" hidden="false" customHeight="false" outlineLevel="0" collapsed="false">
      <c r="A4" s="12" t="str">
        <f aca="false">'Raw IDs'!A4</f>
        <v>m3</v>
      </c>
      <c r="B4" s="13" t="s">
        <v>61</v>
      </c>
      <c r="C4" s="13" t="n">
        <v>53</v>
      </c>
      <c r="D4" s="14" t="str">
        <f aca="false">'Wellness preferences'!C4</f>
        <v>Muscle tone</v>
      </c>
      <c r="E4" s="15"/>
      <c r="F4" s="14" t="str">
        <f aca="false">'Wellness preferences'!D4</f>
        <v>3-4 times / week</v>
      </c>
      <c r="G4" s="14" t="str">
        <f aca="false">'Wellness preferences'!E4</f>
        <v>3+ years</v>
      </c>
      <c r="H4" s="15"/>
      <c r="I4" s="15"/>
      <c r="J4" s="12" t="str">
        <f aca="false">'Wellness preferences'!F4</f>
        <v>No</v>
      </c>
      <c r="K4" s="12" t="str">
        <f aca="false">'Wellness preferences'!G4</f>
        <v>Never</v>
      </c>
      <c r="L4" s="16"/>
      <c r="M4" s="12" t="n">
        <f aca="false">'Last week attendance'!C4</f>
        <v>0</v>
      </c>
      <c r="N4" s="12" t="n">
        <f aca="false">'Last week attendance'!D4</f>
        <v>1</v>
      </c>
      <c r="O4" s="12" t="n">
        <f aca="false">'Last week attendance'!E4</f>
        <v>1</v>
      </c>
      <c r="P4" s="12" t="n">
        <f aca="false">'Last week attendance'!F4</f>
        <v>1</v>
      </c>
      <c r="Q4" s="12" t="n">
        <f aca="false">'Last week attendance'!G4</f>
        <v>0</v>
      </c>
      <c r="R4" s="12" t="n">
        <f aca="false">'Last week attendance'!H4</f>
        <v>2</v>
      </c>
      <c r="S4" s="17" t="str">
        <f aca="false">'Prompt template'!$A$2&amp;CHAR(10)&amp;CHAR(10)&amp;"[MEMBER'S PROFILE]"&amp;CHAR(10)&amp;"Gender: "&amp;IF(B4="","Not provided",B4)&amp;CHAR(10)&amp;"Age: "&amp;IF(C4="","Not provided",C4)&amp;CHAR(10)&amp;CHAR(10)&amp;"*MEMBER'S WELLNESS QUESTIONAIRE DATA*"&amp;CHAR(10)&amp;CHAR(10)&amp;"Fitness goal: "&amp;IF(D4="","Not provided",D4)&amp;CHAR(10)&amp;CHAR(10)&amp;"Current activities: "&amp;IF(E4="","Not provided",E4)&amp;CHAR(10)&amp;"Exercise frequency: "&amp;IF(F4="","Not provided",F4)&amp;CHAR(10)&amp;"Active: "&amp;IF(G4="","Not provided",G4)&amp;CHAR(10)&amp;"Conditions: "&amp;IF(H4="","Not provided",H4)&amp;CHAR(10)&amp;"Medications: "&amp;IF(I4="","Not provided",I4)&amp;CHAR(10)&amp;"Smoker: "&amp;IF(J4="","Not provided",J4)&amp;CHAR(10)&amp;"Alcohol consumption: "&amp;IF(K4="","Not provided",K4)&amp;CHAR(10)&amp;"Medical treatment: "&amp;IF(L4="","Not provided",L4)&amp;CHAR(10)&amp;CHAR(10)&amp;"*LAST WEEKS SESSIONS*"&amp;CHAR(10)&amp;"Cardio="&amp;M4&amp;CHAR(10)&amp;"Strength="&amp;N4&amp;CHAR(10)&amp;"Shape="&amp;O4&amp;CHAR(10)&amp;"Strength &amp; Conditioning="&amp;P4&amp;CHAR(10)&amp;"Wellness="&amp;Q4&amp;CHAR(10)&amp;"Red Light Therapy="&amp;R4</f>
        <v>[INSTRUCTIONS]
You are a seasoned fitness consultant. You will take the following member profile and suggest their booking session goals for the next coming week and suggest how many sessions from the [CONTEXT] they need to book in order to progress in their stated fitness goal. Note that some Classes have max 1/2 sessions slots per week.
[CONTEXT]
Cardio Sessions (1 slot/week) - 50min Session. feature powerful exercise sequences performed at speed and combining bodyweight, freestanding equipment and machines. Work more, rest less, pushing your calorie burn to the max.
Strength (2 slot/week) - 50min Session. Utilizes resistance training, time under tension and functional drop sets to develop your muscle density and mobility. Perform controlled exercises and focus on technique and expanding your range of movement.
Shape (2 slot/week) - 50min Session. Combines cardio and strength training through a mix of controlled, consistent high tempo movements. Build muscular endurance, reduce body imbalance and burn calories, while also lighting up your cardiovascular system.
Strength &amp; Conditioning (2 slot/week) - 50min Session. Dynamic sequences combining power, endurance, and functional performance. Expect full body movement patterns and conditioning intervals that challenge your strength, coordination, and stamina while improving overall physical capacity.
Wellness (2 slot/week) - 30min/50min Sessions. Designed to enhance mobility, flexibility, and overall wellbeing. Slow the pace, reconnect with your body, and restore balance through mindful movement and guided mobility work.
Red Light Therapy (5 slots/week) - 10min Sessions. Boost recovery, improve skin health, and reduce inflammation with our red light therapy sessions. A quick and effective way to help your body recharge and heal faster. Pre or post workout has equal benefits.
[MEMBER'S PROFILE]
Gender: Male
Age: 53
*MEMBER'S WELLNESS QUESTIONAIRE DATA*
Fitness goal: Muscle tone
Current activities: Not provided
Exercise frequency: 3-4 times / week
Active: 3+ years
Conditions: Not provided
Medications: Not provided
Smoker: No
Alcohol consumption: Never
Medical treatment: Not provided
*LAST WEEKS SESSIONS*
Cardio=0
Strength=1
Shape=1
Strength &amp; Conditioning=1
Wellness=0
Red Light Therapy=2</v>
      </c>
      <c r="T4" s="12" t="n">
        <f aca="false">ROUND(LEN(S4)/4,0)</f>
        <v>571</v>
      </c>
      <c r="U4" s="17" t="str">
        <f aca="false">'Prompt template (optimized)'!$A$2&amp;CHAR(10)&amp;CHAR(10)&amp;"Member:"&amp;IF(AND(B4="",C4=""),"",CHAR(10)&amp;"Profile: "&amp;_xlfn.TEXTJOIN(", ",TRUE(),B4,C4))&amp;IF(OR(D4="",LEFT(D4,3)="Not"),"",CHAR(10)&amp;"Goal: "&amp;D4)&amp;IF(OR(E4="",LEFT(E4,3)="Not"),"",CHAR(10)&amp;"Activities: "&amp;E4)&amp;IF(OR(F4="",LEFT(F4,3)="Not"),"",CHAR(10)&amp;"Exercise frequency: "&amp;F4)&amp;IF(OR(G4="",LEFT(G4,3)="Not"),"",CHAR(10)&amp;"Training history: "&amp;G4)&amp;IF(OR(H4="",LEFT(H4,3)="Not"),"",CHAR(10)&amp;"Conditions: "&amp;H4)&amp;IF(OR(I4="",LEFT(I4,3)="Not"),"",CHAR(10)&amp;"Medications: "&amp;I4)&amp;IF(OR(L4="",LEFT(L4,3)="Not"),"",CHAR(10)&amp;"Medical treatment: "&amp;L4)&amp;IF(OR(J4="",LEFT(J4,3)="Not"),"",CHAR(10)&amp;"Smoker: "&amp;J4)&amp;IF(OR(K4="",LEFT(K4,3)="Not"),"",CHAR(10)&amp;"Alcohol: "&amp;K4)&amp;CHAR(10)&amp;"Last week: "&amp;"Cardio="&amp;M4&amp;", "&amp;"Strength="&amp;N4&amp;", "&amp;"Shape="&amp;O4&amp;", "&amp;"Strength &amp; Conditioning="&amp;P4&amp;", "&amp;"Wellness="&amp;Q4&amp;", "&amp;"Red Light Therapy="&amp;R4&amp;CHAR(10)&amp;CHAR(10)&amp;'Prompt template (optimized)'!$A$5</f>
        <v>You are a fitness consultant. Plan the member's class bookings for next week so they progress toward their stated goal.
Weekly slot caps (never exceed): Cardio 1, Strength 2, Shape 2, Strength &amp; Conditioning 2, Wellness 2, Red Light Therapy 5.
Classes:
- Cardio: high-intensity intervals (bodyweight, equipment, machines); maximum calorie burn.
- Strength: resistance training and time under tension; muscle density, mobility, technique.
- Shape: high-tempo cardio and strength mix; muscular endurance, body balance, calorie burn.
- Strength &amp; Conditioning: power, endurance and functional full-body conditioning; stamina, coordination.
- Wellness: mobility, flexibility and mindful recovery.
- Red Light Therapy: 10-minute recovery session, before or after a workout; recovery, skin, inflammation.
Rules:
- Use whole numbers from 0 up to each cap.
- Use last week's sessions as the baseline and progress toward the goal without a sudden jump.
- Keep the total realistic for the member's exercise frequency, health and recovery.
Member:
Profile: Male, 53
Goal: Muscle tone
Exercise frequency: 3-4 times / week
Training history: 3+ years
Smoker: No
Alcohol: Never
Last week: Cardio=0, Strength=1, Shape=1, Strength &amp; Conditioning=1, Wellness=0, Red Light Therapy=2
Answer with JSON only, no other text: {"Cardio":#,"Strength":#,"Shape":#,"Strength &amp; Conditioning":#,"Wellness":#,"Red Light Therapy":#}</v>
      </c>
      <c r="V4" s="12" t="n">
        <f aca="false">ROUND(LEN(U4)/4,0)</f>
        <v>351</v>
      </c>
      <c r="W4" s="12" t="n">
        <f aca="false">T4-V4</f>
        <v>220</v>
      </c>
    </row>
    <row r="5" customFormat="false" ht="449.25" hidden="false" customHeight="false" outlineLevel="0" collapsed="false">
      <c r="A5" s="12" t="str">
        <f aca="false">'Raw IDs'!A5</f>
        <v>m4</v>
      </c>
      <c r="B5" s="13" t="s">
        <v>61</v>
      </c>
      <c r="C5" s="13" t="n">
        <v>37</v>
      </c>
      <c r="D5" s="14" t="str">
        <f aca="false">'Wellness preferences'!C5</f>
        <v>Weight loss</v>
      </c>
      <c r="E5" s="15"/>
      <c r="F5" s="14" t="str">
        <f aca="false">'Wellness preferences'!D5</f>
        <v>1-2 times / week</v>
      </c>
      <c r="G5" s="14" t="str">
        <f aca="false">'Wellness preferences'!E5</f>
        <v>Less than a year</v>
      </c>
      <c r="H5" s="15"/>
      <c r="I5" s="15"/>
      <c r="J5" s="12" t="str">
        <f aca="false">'Wellness preferences'!F5</f>
        <v>Yes</v>
      </c>
      <c r="K5" s="12" t="str">
        <f aca="false">'Wellness preferences'!G5</f>
        <v>Occasionally</v>
      </c>
      <c r="L5" s="16"/>
      <c r="M5" s="12" t="n">
        <f aca="false">'Last week attendance'!C5</f>
        <v>0</v>
      </c>
      <c r="N5" s="12" t="n">
        <f aca="false">'Last week attendance'!D5</f>
        <v>0</v>
      </c>
      <c r="O5" s="12" t="n">
        <f aca="false">'Last week attendance'!E5</f>
        <v>1</v>
      </c>
      <c r="P5" s="12" t="n">
        <f aca="false">'Last week attendance'!F5</f>
        <v>0</v>
      </c>
      <c r="Q5" s="12" t="n">
        <f aca="false">'Last week attendance'!G5</f>
        <v>0</v>
      </c>
      <c r="R5" s="12" t="n">
        <f aca="false">'Last week attendance'!H5</f>
        <v>1</v>
      </c>
      <c r="S5" s="17" t="str">
        <f aca="false">'Prompt template'!$A$2&amp;CHAR(10)&amp;CHAR(10)&amp;"[MEMBER'S PROFILE]"&amp;CHAR(10)&amp;"Gender: "&amp;IF(B5="","Not provided",B5)&amp;CHAR(10)&amp;"Age: "&amp;IF(C5="","Not provided",C5)&amp;CHAR(10)&amp;CHAR(10)&amp;"*MEMBER'S WELLNESS QUESTIONAIRE DATA*"&amp;CHAR(10)&amp;CHAR(10)&amp;"Fitness goal: "&amp;IF(D5="","Not provided",D5)&amp;CHAR(10)&amp;CHAR(10)&amp;"Current activities: "&amp;IF(E5="","Not provided",E5)&amp;CHAR(10)&amp;"Exercise frequency: "&amp;IF(F5="","Not provided",F5)&amp;CHAR(10)&amp;"Active: "&amp;IF(G5="","Not provided",G5)&amp;CHAR(10)&amp;"Conditions: "&amp;IF(H5="","Not provided",H5)&amp;CHAR(10)&amp;"Medications: "&amp;IF(I5="","Not provided",I5)&amp;CHAR(10)&amp;"Smoker: "&amp;IF(J5="","Not provided",J5)&amp;CHAR(10)&amp;"Alcohol consumption: "&amp;IF(K5="","Not provided",K5)&amp;CHAR(10)&amp;"Medical treatment: "&amp;IF(L5="","Not provided",L5)&amp;CHAR(10)&amp;CHAR(10)&amp;"*LAST WEEKS SESSIONS*"&amp;CHAR(10)&amp;"Cardio="&amp;M5&amp;CHAR(10)&amp;"Strength="&amp;N5&amp;CHAR(10)&amp;"Shape="&amp;O5&amp;CHAR(10)&amp;"Strength &amp; Conditioning="&amp;P5&amp;CHAR(10)&amp;"Wellness="&amp;Q5&amp;CHAR(10)&amp;"Red Light Therapy="&amp;R5</f>
        <v>[INSTRUCTIONS]
You are a seasoned fitness consultant. You will take the following member profile and suggest their booking session goals for the next coming week and suggest how many sessions from the [CONTEXT] they need to book in order to progress in their stated fitness goal. Note that some Classes have max 1/2 sessions slots per week.
[CONTEXT]
Cardio Sessions (1 slot/week) - 50min Session. feature powerful exercise sequences performed at speed and combining bodyweight, freestanding equipment and machines. Work more, rest less, pushing your calorie burn to the max.
Strength (2 slot/week) - 50min Session. Utilizes resistance training, time under tension and functional drop sets to develop your muscle density and mobility. Perform controlled exercises and focus on technique and expanding your range of movement.
Shape (2 slot/week) - 50min Session. Combines cardio and strength training through a mix of controlled, consistent high tempo movements. Build muscular endurance, reduce body imbalance and burn calories, while also lighting up your cardiovascular system.
Strength &amp; Conditioning (2 slot/week) - 50min Session. Dynamic sequences combining power, endurance, and functional performance. Expect full body movement patterns and conditioning intervals that challenge your strength, coordination, and stamina while improving overall physical capacity.
Wellness (2 slot/week) - 30min/50min Sessions. Designed to enhance mobility, flexibility, and overall wellbeing. Slow the pace, reconnect with your body, and restore balance through mindful movement and guided mobility work.
Red Light Therapy (5 slots/week) - 10min Sessions. Boost recovery, improve skin health, and reduce inflammation with our red light therapy sessions. A quick and effective way to help your body recharge and heal faster. Pre or post workout has equal benefits.
[MEMBER'S PROFILE]
Gender: Male
Age: 37
*MEMBER'S WELLNESS QUESTIONAIRE DATA*
Fitness goal: Weight loss
Current activities: Not provided
Exercise frequency: 1-2 times / week
Active: Less than a year
Conditions: Not provided
Medications: Not provided
Smoker: Yes
Alcohol consumption: Occasionally
Medical treatment: Not provided
*LAST WEEKS SESSIONS*
Cardio=0
Strength=0
Shape=1
Strength &amp; Conditioning=0
Wellness=0
Red Light Therapy=1</v>
      </c>
      <c r="T5" s="12" t="n">
        <f aca="false">ROUND(LEN(S5)/4,0)</f>
        <v>575</v>
      </c>
      <c r="U5" s="17" t="str">
        <f aca="false">'Prompt template (optimized)'!$A$2&amp;CHAR(10)&amp;CHAR(10)&amp;"Member:"&amp;IF(AND(B5="",C5=""),"",CHAR(10)&amp;"Profile: "&amp;_xlfn.TEXTJOIN(", ",TRUE(),B5,C5))&amp;IF(OR(D5="",LEFT(D5,3)="Not"),"",CHAR(10)&amp;"Goal: "&amp;D5)&amp;IF(OR(E5="",LEFT(E5,3)="Not"),"",CHAR(10)&amp;"Activities: "&amp;E5)&amp;IF(OR(F5="",LEFT(F5,3)="Not"),"",CHAR(10)&amp;"Exercise frequency: "&amp;F5)&amp;IF(OR(G5="",LEFT(G5,3)="Not"),"",CHAR(10)&amp;"Training history: "&amp;G5)&amp;IF(OR(H5="",LEFT(H5,3)="Not"),"",CHAR(10)&amp;"Conditions: "&amp;H5)&amp;IF(OR(I5="",LEFT(I5,3)="Not"),"",CHAR(10)&amp;"Medications: "&amp;I5)&amp;IF(OR(L5="",LEFT(L5,3)="Not"),"",CHAR(10)&amp;"Medical treatment: "&amp;L5)&amp;IF(OR(J5="",LEFT(J5,3)="Not"),"",CHAR(10)&amp;"Smoker: "&amp;J5)&amp;IF(OR(K5="",LEFT(K5,3)="Not"),"",CHAR(10)&amp;"Alcohol: "&amp;K5)&amp;CHAR(10)&amp;"Last week: "&amp;"Cardio="&amp;M5&amp;", "&amp;"Strength="&amp;N5&amp;", "&amp;"Shape="&amp;O5&amp;", "&amp;"Strength &amp; Conditioning="&amp;P5&amp;", "&amp;"Wellness="&amp;Q5&amp;", "&amp;"Red Light Therapy="&amp;R5&amp;CHAR(10)&amp;CHAR(10)&amp;'Prompt template (optimized)'!$A$5</f>
        <v>You are a fitness consultant. Plan the member's class bookings for next week so they progress toward their stated goal.
Weekly slot caps (never exceed): Cardio 1, Strength 2, Shape 2, Strength &amp; Conditioning 2, Wellness 2, Red Light Therapy 5.
Classes:
- Cardio: high-intensity intervals (bodyweight, equipment, machines); maximum calorie burn.
- Strength: resistance training and time under tension; muscle density, mobility, technique.
- Shape: high-tempo cardio and strength mix; muscular endurance, body balance, calorie burn.
- Strength &amp; Conditioning: power, endurance and functional full-body conditioning; stamina, coordination.
- Wellness: mobility, flexibility and mindful recovery.
- Red Light Therapy: 10-minute recovery session, before or after a workout; recovery, skin, inflammation.
Rules:
- Use whole numbers from 0 up to each cap.
- Use last week's sessions as the baseline and progress toward the goal without a sudden jump.
- Keep the total realistic for the member's exercise frequency, health and recovery.
Member:
Profile: Male, 37
Goal: Weight loss
Exercise frequency: 1-2 times / week
Training history: Less than a year
Smoker: Yes
Alcohol: Occasionally
Last week: Cardio=0, Strength=0, Shape=1, Strength &amp; Conditioning=0, Wellness=0, Red Light Therapy=1
Answer with JSON only, no other text: {"Cardio":#,"Strength":#,"Shape":#,"Strength &amp; Conditioning":#,"Wellness":#,"Red Light Therapy":#}</v>
      </c>
      <c r="V5" s="12" t="n">
        <f aca="false">ROUND(LEN(U5)/4,0)</f>
        <v>355</v>
      </c>
      <c r="W5" s="12" t="n">
        <f aca="false">T5-V5</f>
        <v>220</v>
      </c>
    </row>
    <row r="6" customFormat="false" ht="449.25" hidden="false" customHeight="false" outlineLevel="0" collapsed="false">
      <c r="A6" s="12" t="str">
        <f aca="false">'Raw IDs'!A6</f>
        <v>m5</v>
      </c>
      <c r="B6" s="13" t="s">
        <v>60</v>
      </c>
      <c r="C6" s="13" t="n">
        <v>27</v>
      </c>
      <c r="D6" s="14" t="str">
        <f aca="false">'Wellness preferences'!C6</f>
        <v>Build strength</v>
      </c>
      <c r="E6" s="15"/>
      <c r="F6" s="14" t="str">
        <f aca="false">'Wellness preferences'!D6</f>
        <v>3-4 times / week</v>
      </c>
      <c r="G6" s="14" t="str">
        <f aca="false">'Wellness preferences'!E6</f>
        <v>3+ years</v>
      </c>
      <c r="H6" s="15"/>
      <c r="I6" s="15"/>
      <c r="J6" s="12" t="str">
        <f aca="false">'Wellness preferences'!F6</f>
        <v>No</v>
      </c>
      <c r="K6" s="12" t="str">
        <f aca="false">'Wellness preferences'!G6</f>
        <v>Occasionally</v>
      </c>
      <c r="L6" s="16"/>
      <c r="M6" s="12" t="n">
        <f aca="false">'Last week attendance'!C6</f>
        <v>1</v>
      </c>
      <c r="N6" s="12" t="n">
        <f aca="false">'Last week attendance'!D6</f>
        <v>1</v>
      </c>
      <c r="O6" s="12" t="n">
        <f aca="false">'Last week attendance'!E6</f>
        <v>0</v>
      </c>
      <c r="P6" s="12" t="n">
        <f aca="false">'Last week attendance'!F6</f>
        <v>1</v>
      </c>
      <c r="Q6" s="12" t="n">
        <f aca="false">'Last week attendance'!G6</f>
        <v>1</v>
      </c>
      <c r="R6" s="12" t="n">
        <f aca="false">'Last week attendance'!H6</f>
        <v>0</v>
      </c>
      <c r="S6" s="17" t="str">
        <f aca="false">'Prompt template'!$A$2&amp;CHAR(10)&amp;CHAR(10)&amp;"[MEMBER'S PROFILE]"&amp;CHAR(10)&amp;"Gender: "&amp;IF(B6="","Not provided",B6)&amp;CHAR(10)&amp;"Age: "&amp;IF(C6="","Not provided",C6)&amp;CHAR(10)&amp;CHAR(10)&amp;"*MEMBER'S WELLNESS QUESTIONAIRE DATA*"&amp;CHAR(10)&amp;CHAR(10)&amp;"Fitness goal: "&amp;IF(D6="","Not provided",D6)&amp;CHAR(10)&amp;CHAR(10)&amp;"Current activities: "&amp;IF(E6="","Not provided",E6)&amp;CHAR(10)&amp;"Exercise frequency: "&amp;IF(F6="","Not provided",F6)&amp;CHAR(10)&amp;"Active: "&amp;IF(G6="","Not provided",G6)&amp;CHAR(10)&amp;"Conditions: "&amp;IF(H6="","Not provided",H6)&amp;CHAR(10)&amp;"Medications: "&amp;IF(I6="","Not provided",I6)&amp;CHAR(10)&amp;"Smoker: "&amp;IF(J6="","Not provided",J6)&amp;CHAR(10)&amp;"Alcohol consumption: "&amp;IF(K6="","Not provided",K6)&amp;CHAR(10)&amp;"Medical treatment: "&amp;IF(L6="","Not provided",L6)&amp;CHAR(10)&amp;CHAR(10)&amp;"*LAST WEEKS SESSIONS*"&amp;CHAR(10)&amp;"Cardio="&amp;M6&amp;CHAR(10)&amp;"Strength="&amp;N6&amp;CHAR(10)&amp;"Shape="&amp;O6&amp;CHAR(10)&amp;"Strength &amp; Conditioning="&amp;P6&amp;CHAR(10)&amp;"Wellness="&amp;Q6&amp;CHAR(10)&amp;"Red Light Therapy="&amp;R6</f>
        <v>[INSTRUCTIONS]
You are a seasoned fitness consultant. You will take the following member profile and suggest their booking session goals for the next coming week and suggest how many sessions from the [CONTEXT] they need to book in order to progress in their stated fitness goal. Note that some Classes have max 1/2 sessions slots per week.
[CONTEXT]
Cardio Sessions (1 slot/week) - 50min Session. feature powerful exercise sequences performed at speed and combining bodyweight, freestanding equipment and machines. Work more, rest less, pushing your calorie burn to the max.
Strength (2 slot/week) - 50min Session. Utilizes resistance training, time under tension and functional drop sets to develop your muscle density and mobility. Perform controlled exercises and focus on technique and expanding your range of movement.
Shape (2 slot/week) - 50min Session. Combines cardio and strength training through a mix of controlled, consistent high tempo movements. Build muscular endurance, reduce body imbalance and burn calories, while also lighting up your cardiovascular system.
Strength &amp; Conditioning (2 slot/week) - 50min Session. Dynamic sequences combining power, endurance, and functional performance. Expect full body movement patterns and conditioning intervals that challenge your strength, coordination, and stamina while improving overall physical capacity.
Wellness (2 slot/week) - 30min/50min Sessions. Designed to enhance mobility, flexibility, and overall wellbeing. Slow the pace, reconnect with your body, and restore balance through mindful movement and guided mobility work.
Red Light Therapy (5 slots/week) - 10min Sessions. Boost recovery, improve skin health, and reduce inflammation with our red light therapy sessions. A quick and effective way to help your body recharge and heal faster. Pre or post workout has equal benefits.
[MEMBER'S PROFILE]
Gender: Female
Age: 27
*MEMBER'S WELLNESS QUESTIONAIRE DATA*
Fitness goal: Build strength
Current activities: Not provided
Exercise frequency: 3-4 times / week
Active: 3+ years
Conditions: Not provided
Medications: Not provided
Smoker: No
Alcohol consumption: Occasionally
Medical treatment: Not provided
*LAST WEEKS SESSIONS*
Cardio=1
Strength=1
Shape=0
Strength &amp; Conditioning=1
Wellness=1
Red Light Therapy=0</v>
      </c>
      <c r="T6" s="12" t="n">
        <f aca="false">ROUND(LEN(S6)/4,0)</f>
        <v>574</v>
      </c>
      <c r="U6" s="17" t="str">
        <f aca="false">'Prompt template (optimized)'!$A$2&amp;CHAR(10)&amp;CHAR(10)&amp;"Member:"&amp;IF(AND(B6="",C6=""),"",CHAR(10)&amp;"Profile: "&amp;_xlfn.TEXTJOIN(", ",TRUE(),B6,C6))&amp;IF(OR(D6="",LEFT(D6,3)="Not"),"",CHAR(10)&amp;"Goal: "&amp;D6)&amp;IF(OR(E6="",LEFT(E6,3)="Not"),"",CHAR(10)&amp;"Activities: "&amp;E6)&amp;IF(OR(F6="",LEFT(F6,3)="Not"),"",CHAR(10)&amp;"Exercise frequency: "&amp;F6)&amp;IF(OR(G6="",LEFT(G6,3)="Not"),"",CHAR(10)&amp;"Training history: "&amp;G6)&amp;IF(OR(H6="",LEFT(H6,3)="Not"),"",CHAR(10)&amp;"Conditions: "&amp;H6)&amp;IF(OR(I6="",LEFT(I6,3)="Not"),"",CHAR(10)&amp;"Medications: "&amp;I6)&amp;IF(OR(L6="",LEFT(L6,3)="Not"),"",CHAR(10)&amp;"Medical treatment: "&amp;L6)&amp;IF(OR(J6="",LEFT(J6,3)="Not"),"",CHAR(10)&amp;"Smoker: "&amp;J6)&amp;IF(OR(K6="",LEFT(K6,3)="Not"),"",CHAR(10)&amp;"Alcohol: "&amp;K6)&amp;CHAR(10)&amp;"Last week: "&amp;"Cardio="&amp;M6&amp;", "&amp;"Strength="&amp;N6&amp;", "&amp;"Shape="&amp;O6&amp;", "&amp;"Strength &amp; Conditioning="&amp;P6&amp;", "&amp;"Wellness="&amp;Q6&amp;", "&amp;"Red Light Therapy="&amp;R6&amp;CHAR(10)&amp;CHAR(10)&amp;'Prompt template (optimized)'!$A$5</f>
        <v>You are a fitness consultant. Plan the member's class bookings for next week so they progress toward their stated goal.
Weekly slot caps (never exceed): Cardio 1, Strength 2, Shape 2, Strength &amp; Conditioning 2, Wellness 2, Red Light Therapy 5.
Classes:
- Cardio: high-intensity intervals (bodyweight, equipment, machines); maximum calorie burn.
- Strength: resistance training and time under tension; muscle density, mobility, technique.
- Shape: high-tempo cardio and strength mix; muscular endurance, body balance, calorie burn.
- Strength &amp; Conditioning: power, endurance and functional full-body conditioning; stamina, coordination.
- Wellness: mobility, flexibility and mindful recovery.
- Red Light Therapy: 10-minute recovery session, before or after a workout; recovery, skin, inflammation.
Rules:
- Use whole numbers from 0 up to each cap.
- Use last week's sessions as the baseline and progress toward the goal without a sudden jump.
- Keep the total realistic for the member's exercise frequency, health and recovery.
Member:
Profile: Female, 27
Goal: Build strength
Exercise frequency: 3-4 times / week
Training history: 3+ years
Smoker: No
Alcohol: Occasionally
Last week: Cardio=1, Strength=1, Shape=0, Strength &amp; Conditioning=1, Wellness=1, Red Light Therapy=0
Answer with JSON only, no other text: {"Cardio":#,"Strength":#,"Shape":#,"Strength &amp; Conditioning":#,"Wellness":#,"Red Light Therapy":#}</v>
      </c>
      <c r="V6" s="12" t="n">
        <f aca="false">ROUND(LEN(U6)/4,0)</f>
        <v>354</v>
      </c>
      <c r="W6" s="12" t="n">
        <f aca="false">T6-V6</f>
        <v>220</v>
      </c>
    </row>
    <row r="7" customFormat="false" ht="449.25" hidden="false" customHeight="false" outlineLevel="0" collapsed="false">
      <c r="A7" s="12" t="str">
        <f aca="false">'Raw IDs'!A7</f>
        <v>m6</v>
      </c>
      <c r="B7" s="13" t="s">
        <v>60</v>
      </c>
      <c r="C7" s="13" t="n">
        <v>40</v>
      </c>
      <c r="D7" s="14" t="str">
        <f aca="false">'Wellness preferences'!C7</f>
        <v>Muscle tone</v>
      </c>
      <c r="E7" s="15"/>
      <c r="F7" s="14" t="str">
        <f aca="false">'Wellness preferences'!D7</f>
        <v>3-4 times / week</v>
      </c>
      <c r="G7" s="14" t="str">
        <f aca="false">'Wellness preferences'!E7</f>
        <v>1-3 years</v>
      </c>
      <c r="H7" s="15"/>
      <c r="I7" s="15"/>
      <c r="J7" s="12" t="str">
        <f aca="false">'Wellness preferences'!F7</f>
        <v>Social / Occasional</v>
      </c>
      <c r="K7" s="12" t="str">
        <f aca="false">'Wellness preferences'!G7</f>
        <v>Occasionally</v>
      </c>
      <c r="L7" s="16"/>
      <c r="M7" s="12" t="n">
        <f aca="false">'Last week attendance'!C7</f>
        <v>0</v>
      </c>
      <c r="N7" s="12" t="n">
        <f aca="false">'Last week attendance'!D7</f>
        <v>2</v>
      </c>
      <c r="O7" s="12" t="n">
        <f aca="false">'Last week attendance'!E7</f>
        <v>1</v>
      </c>
      <c r="P7" s="12" t="n">
        <f aca="false">'Last week attendance'!F7</f>
        <v>0</v>
      </c>
      <c r="Q7" s="12" t="n">
        <f aca="false">'Last week attendance'!G7</f>
        <v>1</v>
      </c>
      <c r="R7" s="12" t="n">
        <f aca="false">'Last week attendance'!H7</f>
        <v>1</v>
      </c>
      <c r="S7" s="17" t="str">
        <f aca="false">'Prompt template'!$A$2&amp;CHAR(10)&amp;CHAR(10)&amp;"[MEMBER'S PROFILE]"&amp;CHAR(10)&amp;"Gender: "&amp;IF(B7="","Not provided",B7)&amp;CHAR(10)&amp;"Age: "&amp;IF(C7="","Not provided",C7)&amp;CHAR(10)&amp;CHAR(10)&amp;"*MEMBER'S WELLNESS QUESTIONAIRE DATA*"&amp;CHAR(10)&amp;CHAR(10)&amp;"Fitness goal: "&amp;IF(D7="","Not provided",D7)&amp;CHAR(10)&amp;CHAR(10)&amp;"Current activities: "&amp;IF(E7="","Not provided",E7)&amp;CHAR(10)&amp;"Exercise frequency: "&amp;IF(F7="","Not provided",F7)&amp;CHAR(10)&amp;"Active: "&amp;IF(G7="","Not provided",G7)&amp;CHAR(10)&amp;"Conditions: "&amp;IF(H7="","Not provided",H7)&amp;CHAR(10)&amp;"Medications: "&amp;IF(I7="","Not provided",I7)&amp;CHAR(10)&amp;"Smoker: "&amp;IF(J7="","Not provided",J7)&amp;CHAR(10)&amp;"Alcohol consumption: "&amp;IF(K7="","Not provided",K7)&amp;CHAR(10)&amp;"Medical treatment: "&amp;IF(L7="","Not provided",L7)&amp;CHAR(10)&amp;CHAR(10)&amp;"*LAST WEEKS SESSIONS*"&amp;CHAR(10)&amp;"Cardio="&amp;M7&amp;CHAR(10)&amp;"Strength="&amp;N7&amp;CHAR(10)&amp;"Shape="&amp;O7&amp;CHAR(10)&amp;"Strength &amp; Conditioning="&amp;P7&amp;CHAR(10)&amp;"Wellness="&amp;Q7&amp;CHAR(10)&amp;"Red Light Therapy="&amp;R7</f>
        <v>[INSTRUCTIONS]
You are a seasoned fitness consultant. You will take the following member profile and suggest their booking session goals for the next coming week and suggest how many sessions from the [CONTEXT] they need to book in order to progress in their stated fitness goal. Note that some Classes have max 1/2 sessions slots per week.
[CONTEXT]
Cardio Sessions (1 slot/week) - 50min Session. feature powerful exercise sequences performed at speed and combining bodyweight, freestanding equipment and machines. Work more, rest less, pushing your calorie burn to the max.
Strength (2 slot/week) - 50min Session. Utilizes resistance training, time under tension and functional drop sets to develop your muscle density and mobility. Perform controlled exercises and focus on technique and expanding your range of movement.
Shape (2 slot/week) - 50min Session. Combines cardio and strength training through a mix of controlled, consistent high tempo movements. Build muscular endurance, reduce body imbalance and burn calories, while also lighting up your cardiovascular system.
Strength &amp; Conditioning (2 slot/week) - 50min Session. Dynamic sequences combining power, endurance, and functional performance. Expect full body movement patterns and conditioning intervals that challenge your strength, coordination, and stamina while improving overall physical capacity.
Wellness (2 slot/week) - 30min/50min Sessions. Designed to enhance mobility, flexibility, and overall wellbeing. Slow the pace, reconnect with your body, and restore balance through mindful movement and guided mobility work.
Red Light Therapy (5 slots/week) - 10min Sessions. Boost recovery, improve skin health, and reduce inflammation with our red light therapy sessions. A quick and effective way to help your body recharge and heal faster. Pre or post workout has equal benefits.
[MEMBER'S PROFILE]
Gender: Female
Age: 40
*MEMBER'S WELLNESS QUESTIONAIRE DATA*
Fitness goal: Muscle tone
Current activities: Not provided
Exercise frequency: 3-4 times / week
Active: 1-3 years
Conditions: Not provided
Medications: Not provided
Smoker: Social / Occasional
Alcohol consumption: Occasionally
Medical treatment: Not provided
*LAST WEEKS SESSIONS*
Cardio=0
Strength=2
Shape=1
Strength &amp; Conditioning=0
Wellness=1
Red Light Therapy=1</v>
      </c>
      <c r="T7" s="12" t="n">
        <f aca="false">ROUND(LEN(S7)/4,0)</f>
        <v>578</v>
      </c>
      <c r="U7" s="17" t="str">
        <f aca="false">'Prompt template (optimized)'!$A$2&amp;CHAR(10)&amp;CHAR(10)&amp;"Member:"&amp;IF(AND(B7="",C7=""),"",CHAR(10)&amp;"Profile: "&amp;_xlfn.TEXTJOIN(", ",TRUE(),B7,C7))&amp;IF(OR(D7="",LEFT(D7,3)="Not"),"",CHAR(10)&amp;"Goal: "&amp;D7)&amp;IF(OR(E7="",LEFT(E7,3)="Not"),"",CHAR(10)&amp;"Activities: "&amp;E7)&amp;IF(OR(F7="",LEFT(F7,3)="Not"),"",CHAR(10)&amp;"Exercise frequency: "&amp;F7)&amp;IF(OR(G7="",LEFT(G7,3)="Not"),"",CHAR(10)&amp;"Training history: "&amp;G7)&amp;IF(OR(H7="",LEFT(H7,3)="Not"),"",CHAR(10)&amp;"Conditions: "&amp;H7)&amp;IF(OR(I7="",LEFT(I7,3)="Not"),"",CHAR(10)&amp;"Medications: "&amp;I7)&amp;IF(OR(L7="",LEFT(L7,3)="Not"),"",CHAR(10)&amp;"Medical treatment: "&amp;L7)&amp;IF(OR(J7="",LEFT(J7,3)="Not"),"",CHAR(10)&amp;"Smoker: "&amp;J7)&amp;IF(OR(K7="",LEFT(K7,3)="Not"),"",CHAR(10)&amp;"Alcohol: "&amp;K7)&amp;CHAR(10)&amp;"Last week: "&amp;"Cardio="&amp;M7&amp;", "&amp;"Strength="&amp;N7&amp;", "&amp;"Shape="&amp;O7&amp;", "&amp;"Strength &amp; Conditioning="&amp;P7&amp;", "&amp;"Wellness="&amp;Q7&amp;", "&amp;"Red Light Therapy="&amp;R7&amp;CHAR(10)&amp;CHAR(10)&amp;'Prompt template (optimized)'!$A$5</f>
        <v>You are a fitness consultant. Plan the member's class bookings for next week so they progress toward their stated goal.
Weekly slot caps (never exceed): Cardio 1, Strength 2, Shape 2, Strength &amp; Conditioning 2, Wellness 2, Red Light Therapy 5.
Classes:
- Cardio: high-intensity intervals (bodyweight, equipment, machines); maximum calorie burn.
- Strength: resistance training and time under tension; muscle density, mobility, technique.
- Shape: high-tempo cardio and strength mix; muscular endurance, body balance, calorie burn.
- Strength &amp; Conditioning: power, endurance and functional full-body conditioning; stamina, coordination.
- Wellness: mobility, flexibility and mindful recovery.
- Red Light Therapy: 10-minute recovery session, before or after a workout; recovery, skin, inflammation.
Rules:
- Use whole numbers from 0 up to each cap.
- Use last week's sessions as the baseline and progress toward the goal without a sudden jump.
- Keep the total realistic for the member's exercise frequency, health and recovery.
Member:
Profile: Female, 40
Goal: Muscle tone
Exercise frequency: 3-4 times / week
Training history: 1-3 years
Smoker: Social / Occasional
Alcohol: Occasionally
Last week: Cardio=0, Strength=2, Shape=1, Strength &amp; Conditioning=0, Wellness=1, Red Light Therapy=1
Answer with JSON only, no other text: {"Cardio":#,"Strength":#,"Shape":#,"Strength &amp; Conditioning":#,"Wellness":#,"Red Light Therapy":#}</v>
      </c>
      <c r="V7" s="12" t="n">
        <f aca="false">ROUND(LEN(U7)/4,0)</f>
        <v>358</v>
      </c>
      <c r="W7" s="12" t="n">
        <f aca="false">T7-V7</f>
        <v>220</v>
      </c>
    </row>
    <row r="8" customFormat="false" ht="449.25" hidden="false" customHeight="false" outlineLevel="0" collapsed="false">
      <c r="A8" s="12" t="str">
        <f aca="false">'Raw IDs'!A8</f>
        <v>m7</v>
      </c>
      <c r="B8" s="13" t="s">
        <v>60</v>
      </c>
      <c r="C8" s="13" t="n">
        <v>50</v>
      </c>
      <c r="D8" s="14" t="str">
        <f aca="false">'Wellness preferences'!C8</f>
        <v>Weight loss</v>
      </c>
      <c r="E8" s="15"/>
      <c r="F8" s="14" t="str">
        <f aca="false">'Wellness preferences'!D8</f>
        <v>5-6 times / week</v>
      </c>
      <c r="G8" s="14" t="str">
        <f aca="false">'Wellness preferences'!E8</f>
        <v>3+ years</v>
      </c>
      <c r="H8" s="15"/>
      <c r="I8" s="15"/>
      <c r="J8" s="12" t="str">
        <f aca="false">'Wellness preferences'!F8</f>
        <v>No</v>
      </c>
      <c r="K8" s="12" t="str">
        <f aca="false">'Wellness preferences'!G8</f>
        <v>Occasionally</v>
      </c>
      <c r="L8" s="16"/>
      <c r="M8" s="12" t="n">
        <f aca="false">'Last week attendance'!C8</f>
        <v>1</v>
      </c>
      <c r="N8" s="12" t="n">
        <f aca="false">'Last week attendance'!D8</f>
        <v>2</v>
      </c>
      <c r="O8" s="12" t="n">
        <f aca="false">'Last week attendance'!E8</f>
        <v>1</v>
      </c>
      <c r="P8" s="12" t="n">
        <f aca="false">'Last week attendance'!F8</f>
        <v>1</v>
      </c>
      <c r="Q8" s="12" t="n">
        <f aca="false">'Last week attendance'!G8</f>
        <v>0</v>
      </c>
      <c r="R8" s="12" t="n">
        <f aca="false">'Last week attendance'!H8</f>
        <v>3</v>
      </c>
      <c r="S8" s="17" t="str">
        <f aca="false">'Prompt template'!$A$2&amp;CHAR(10)&amp;CHAR(10)&amp;"[MEMBER'S PROFILE]"&amp;CHAR(10)&amp;"Gender: "&amp;IF(B8="","Not provided",B8)&amp;CHAR(10)&amp;"Age: "&amp;IF(C8="","Not provided",C8)&amp;CHAR(10)&amp;CHAR(10)&amp;"*MEMBER'S WELLNESS QUESTIONAIRE DATA*"&amp;CHAR(10)&amp;CHAR(10)&amp;"Fitness goal: "&amp;IF(D8="","Not provided",D8)&amp;CHAR(10)&amp;CHAR(10)&amp;"Current activities: "&amp;IF(E8="","Not provided",E8)&amp;CHAR(10)&amp;"Exercise frequency: "&amp;IF(F8="","Not provided",F8)&amp;CHAR(10)&amp;"Active: "&amp;IF(G8="","Not provided",G8)&amp;CHAR(10)&amp;"Conditions: "&amp;IF(H8="","Not provided",H8)&amp;CHAR(10)&amp;"Medications: "&amp;IF(I8="","Not provided",I8)&amp;CHAR(10)&amp;"Smoker: "&amp;IF(J8="","Not provided",J8)&amp;CHAR(10)&amp;"Alcohol consumption: "&amp;IF(K8="","Not provided",K8)&amp;CHAR(10)&amp;"Medical treatment: "&amp;IF(L8="","Not provided",L8)&amp;CHAR(10)&amp;CHAR(10)&amp;"*LAST WEEKS SESSIONS*"&amp;CHAR(10)&amp;"Cardio="&amp;M8&amp;CHAR(10)&amp;"Strength="&amp;N8&amp;CHAR(10)&amp;"Shape="&amp;O8&amp;CHAR(10)&amp;"Strength &amp; Conditioning="&amp;P8&amp;CHAR(10)&amp;"Wellness="&amp;Q8&amp;CHAR(10)&amp;"Red Light Therapy="&amp;R8</f>
        <v>[INSTRUCTIONS]
You are a seasoned fitness consultant. You will take the following member profile and suggest their booking session goals for the next coming week and suggest how many sessions from the [CONTEXT] they need to book in order to progress in their stated fitness goal. Note that some Classes have max 1/2 sessions slots per week.
[CONTEXT]
Cardio Sessions (1 slot/week) - 50min Session. feature powerful exercise sequences performed at speed and combining bodyweight, freestanding equipment and machines. Work more, rest less, pushing your calorie burn to the max.
Strength (2 slot/week) - 50min Session. Utilizes resistance training, time under tension and functional drop sets to develop your muscle density and mobility. Perform controlled exercises and focus on technique and expanding your range of movement.
Shape (2 slot/week) - 50min Session. Combines cardio and strength training through a mix of controlled, consistent high tempo movements. Build muscular endurance, reduce body imbalance and burn calories, while also lighting up your cardiovascular system.
Strength &amp; Conditioning (2 slot/week) - 50min Session. Dynamic sequences combining power, endurance, and functional performance. Expect full body movement patterns and conditioning intervals that challenge your strength, coordination, and stamina while improving overall physical capacity.
Wellness (2 slot/week) - 30min/50min Sessions. Designed to enhance mobility, flexibility, and overall wellbeing. Slow the pace, reconnect with your body, and restore balance through mindful movement and guided mobility work.
Red Light Therapy (5 slots/week) - 10min Sessions. Boost recovery, improve skin health, and reduce inflammation with our red light therapy sessions. A quick and effective way to help your body recharge and heal faster. Pre or post workout has equal benefits.
[MEMBER'S PROFILE]
Gender: Female
Age: 50
*MEMBER'S WELLNESS QUESTIONAIRE DATA*
Fitness goal: Weight loss
Current activities: Not provided
Exercise frequency: 5-6 times / week
Active: 3+ years
Conditions: Not provided
Medications: Not provided
Smoker: No
Alcohol consumption: Occasionally
Medical treatment: Not provided
*LAST WEEKS SESSIONS*
Cardio=1
Strength=2
Shape=1
Strength &amp; Conditioning=1
Wellness=0
Red Light Therapy=3</v>
      </c>
      <c r="T8" s="12" t="n">
        <f aca="false">ROUND(LEN(S8)/4,0)</f>
        <v>573</v>
      </c>
      <c r="U8" s="17" t="str">
        <f aca="false">'Prompt template (optimized)'!$A$2&amp;CHAR(10)&amp;CHAR(10)&amp;"Member:"&amp;IF(AND(B8="",C8=""),"",CHAR(10)&amp;"Profile: "&amp;_xlfn.TEXTJOIN(", ",TRUE(),B8,C8))&amp;IF(OR(D8="",LEFT(D8,3)="Not"),"",CHAR(10)&amp;"Goal: "&amp;D8)&amp;IF(OR(E8="",LEFT(E8,3)="Not"),"",CHAR(10)&amp;"Activities: "&amp;E8)&amp;IF(OR(F8="",LEFT(F8,3)="Not"),"",CHAR(10)&amp;"Exercise frequency: "&amp;F8)&amp;IF(OR(G8="",LEFT(G8,3)="Not"),"",CHAR(10)&amp;"Training history: "&amp;G8)&amp;IF(OR(H8="",LEFT(H8,3)="Not"),"",CHAR(10)&amp;"Conditions: "&amp;H8)&amp;IF(OR(I8="",LEFT(I8,3)="Not"),"",CHAR(10)&amp;"Medications: "&amp;I8)&amp;IF(OR(L8="",LEFT(L8,3)="Not"),"",CHAR(10)&amp;"Medical treatment: "&amp;L8)&amp;IF(OR(J8="",LEFT(J8,3)="Not"),"",CHAR(10)&amp;"Smoker: "&amp;J8)&amp;IF(OR(K8="",LEFT(K8,3)="Not"),"",CHAR(10)&amp;"Alcohol: "&amp;K8)&amp;CHAR(10)&amp;"Last week: "&amp;"Cardio="&amp;M8&amp;", "&amp;"Strength="&amp;N8&amp;", "&amp;"Shape="&amp;O8&amp;", "&amp;"Strength &amp; Conditioning="&amp;P8&amp;", "&amp;"Wellness="&amp;Q8&amp;", "&amp;"Red Light Therapy="&amp;R8&amp;CHAR(10)&amp;CHAR(10)&amp;'Prompt template (optimized)'!$A$5</f>
        <v>You are a fitness consultant. Plan the member's class bookings for next week so they progress toward their stated goal.
Weekly slot caps (never exceed): Cardio 1, Strength 2, Shape 2, Strength &amp; Conditioning 2, Wellness 2, Red Light Therapy 5.
Classes:
- Cardio: high-intensity intervals (bodyweight, equipment, machines); maximum calorie burn.
- Strength: resistance training and time under tension; muscle density, mobility, technique.
- Shape: high-tempo cardio and strength mix; muscular endurance, body balance, calorie burn.
- Strength &amp; Conditioning: power, endurance and functional full-body conditioning; stamina, coordination.
- Wellness: mobility, flexibility and mindful recovery.
- Red Light Therapy: 10-minute recovery session, before or after a workout; recovery, skin, inflammation.
Rules:
- Use whole numbers from 0 up to each cap.
- Use last week's sessions as the baseline and progress toward the goal without a sudden jump.
- Keep the total realistic for the member's exercise frequency, health and recovery.
Member:
Profile: Female, 50
Goal: Weight loss
Exercise frequency: 5-6 times / week
Training history: 3+ years
Smoker: No
Alcohol: Occasionally
Last week: Cardio=1, Strength=2, Shape=1, Strength &amp; Conditioning=1, Wellness=0, Red Light Therapy=3
Answer with JSON only, no other text: {"Cardio":#,"Strength":#,"Shape":#,"Strength &amp; Conditioning":#,"Wellness":#,"Red Light Therapy":#}</v>
      </c>
      <c r="V8" s="12" t="n">
        <f aca="false">ROUND(LEN(U8)/4,0)</f>
        <v>354</v>
      </c>
      <c r="W8" s="12" t="n">
        <f aca="false">T8-V8</f>
        <v>219</v>
      </c>
    </row>
    <row r="9" customFormat="false" ht="449.25" hidden="false" customHeight="false" outlineLevel="0" collapsed="false">
      <c r="A9" s="12" t="str">
        <f aca="false">'Raw IDs'!A9</f>
        <v>m8</v>
      </c>
      <c r="B9" s="13" t="s">
        <v>60</v>
      </c>
      <c r="C9" s="13" t="n">
        <v>53</v>
      </c>
      <c r="D9" s="14" t="str">
        <f aca="false">'Wellness preferences'!C9</f>
        <v>Weight loss</v>
      </c>
      <c r="E9" s="15"/>
      <c r="F9" s="14" t="str">
        <f aca="false">'Wellness preferences'!D9</f>
        <v>5-6 times / week</v>
      </c>
      <c r="G9" s="14" t="str">
        <f aca="false">'Wellness preferences'!E9</f>
        <v>3+ years</v>
      </c>
      <c r="H9" s="15"/>
      <c r="I9" s="15"/>
      <c r="J9" s="12" t="str">
        <f aca="false">'Wellness preferences'!F9</f>
        <v>No</v>
      </c>
      <c r="K9" s="12" t="str">
        <f aca="false">'Wellness preferences'!G9</f>
        <v>Never</v>
      </c>
      <c r="L9" s="16"/>
      <c r="M9" s="12" t="n">
        <f aca="false">'Last week attendance'!C9</f>
        <v>1</v>
      </c>
      <c r="N9" s="12" t="n">
        <f aca="false">'Last week attendance'!D9</f>
        <v>1</v>
      </c>
      <c r="O9" s="12" t="n">
        <f aca="false">'Last week attendance'!E9</f>
        <v>2</v>
      </c>
      <c r="P9" s="12" t="n">
        <f aca="false">'Last week attendance'!F9</f>
        <v>2</v>
      </c>
      <c r="Q9" s="12" t="n">
        <f aca="false">'Last week attendance'!G9</f>
        <v>0</v>
      </c>
      <c r="R9" s="12" t="n">
        <f aca="false">'Last week attendance'!H9</f>
        <v>2</v>
      </c>
      <c r="S9" s="17" t="str">
        <f aca="false">'Prompt template'!$A$2&amp;CHAR(10)&amp;CHAR(10)&amp;"[MEMBER'S PROFILE]"&amp;CHAR(10)&amp;"Gender: "&amp;IF(B9="","Not provided",B9)&amp;CHAR(10)&amp;"Age: "&amp;IF(C9="","Not provided",C9)&amp;CHAR(10)&amp;CHAR(10)&amp;"*MEMBER'S WELLNESS QUESTIONAIRE DATA*"&amp;CHAR(10)&amp;CHAR(10)&amp;"Fitness goal: "&amp;IF(D9="","Not provided",D9)&amp;CHAR(10)&amp;CHAR(10)&amp;"Current activities: "&amp;IF(E9="","Not provided",E9)&amp;CHAR(10)&amp;"Exercise frequency: "&amp;IF(F9="","Not provided",F9)&amp;CHAR(10)&amp;"Active: "&amp;IF(G9="","Not provided",G9)&amp;CHAR(10)&amp;"Conditions: "&amp;IF(H9="","Not provided",H9)&amp;CHAR(10)&amp;"Medications: "&amp;IF(I9="","Not provided",I9)&amp;CHAR(10)&amp;"Smoker: "&amp;IF(J9="","Not provided",J9)&amp;CHAR(10)&amp;"Alcohol consumption: "&amp;IF(K9="","Not provided",K9)&amp;CHAR(10)&amp;"Medical treatment: "&amp;IF(L9="","Not provided",L9)&amp;CHAR(10)&amp;CHAR(10)&amp;"*LAST WEEKS SESSIONS*"&amp;CHAR(10)&amp;"Cardio="&amp;M9&amp;CHAR(10)&amp;"Strength="&amp;N9&amp;CHAR(10)&amp;"Shape="&amp;O9&amp;CHAR(10)&amp;"Strength &amp; Conditioning="&amp;P9&amp;CHAR(10)&amp;"Wellness="&amp;Q9&amp;CHAR(10)&amp;"Red Light Therapy="&amp;R9</f>
        <v>[INSTRUCTIONS]
You are a seasoned fitness consultant. You will take the following member profile and suggest their booking session goals for the next coming week and suggest how many sessions from the [CONTEXT] they need to book in order to progress in their stated fitness goal. Note that some Classes have max 1/2 sessions slots per week.
[CONTEXT]
Cardio Sessions (1 slot/week) - 50min Session. feature powerful exercise sequences performed at speed and combining bodyweight, freestanding equipment and machines. Work more, rest less, pushing your calorie burn to the max.
Strength (2 slot/week) - 50min Session. Utilizes resistance training, time under tension and functional drop sets to develop your muscle density and mobility. Perform controlled exercises and focus on technique and expanding your range of movement.
Shape (2 slot/week) - 50min Session. Combines cardio and strength training through a mix of controlled, consistent high tempo movements. Build muscular endurance, reduce body imbalance and burn calories, while also lighting up your cardiovascular system.
Strength &amp; Conditioning (2 slot/week) - 50min Session. Dynamic sequences combining power, endurance, and functional performance. Expect full body movement patterns and conditioning intervals that challenge your strength, coordination, and stamina while improving overall physical capacity.
Wellness (2 slot/week) - 30min/50min Sessions. Designed to enhance mobility, flexibility, and overall wellbeing. Slow the pace, reconnect with your body, and restore balance through mindful movement and guided mobility work.
Red Light Therapy (5 slots/week) - 10min Sessions. Boost recovery, improve skin health, and reduce inflammation with our red light therapy sessions. A quick and effective way to help your body recharge and heal faster. Pre or post workout has equal benefits.
[MEMBER'S PROFILE]
Gender: Female
Age: 53
*MEMBER'S WELLNESS QUESTIONAIRE DATA*
Fitness goal: Weight loss
Current activities: Not provided
Exercise frequency: 5-6 times / week
Active: 3+ years
Conditions: Not provided
Medications: Not provided
Smoker: No
Alcohol consumption: Never
Medical treatment: Not provided
*LAST WEEKS SESSIONS*
Cardio=1
Strength=1
Shape=2
Strength &amp; Conditioning=2
Wellness=0
Red Light Therapy=2</v>
      </c>
      <c r="T9" s="12" t="n">
        <f aca="false">ROUND(LEN(S9)/4,0)</f>
        <v>571</v>
      </c>
      <c r="U9" s="17" t="str">
        <f aca="false">'Prompt template (optimized)'!$A$2&amp;CHAR(10)&amp;CHAR(10)&amp;"Member:"&amp;IF(AND(B9="",C9=""),"",CHAR(10)&amp;"Profile: "&amp;_xlfn.TEXTJOIN(", ",TRUE(),B9,C9))&amp;IF(OR(D9="",LEFT(D9,3)="Not"),"",CHAR(10)&amp;"Goal: "&amp;D9)&amp;IF(OR(E9="",LEFT(E9,3)="Not"),"",CHAR(10)&amp;"Activities: "&amp;E9)&amp;IF(OR(F9="",LEFT(F9,3)="Not"),"",CHAR(10)&amp;"Exercise frequency: "&amp;F9)&amp;IF(OR(G9="",LEFT(G9,3)="Not"),"",CHAR(10)&amp;"Training history: "&amp;G9)&amp;IF(OR(H9="",LEFT(H9,3)="Not"),"",CHAR(10)&amp;"Conditions: "&amp;H9)&amp;IF(OR(I9="",LEFT(I9,3)="Not"),"",CHAR(10)&amp;"Medications: "&amp;I9)&amp;IF(OR(L9="",LEFT(L9,3)="Not"),"",CHAR(10)&amp;"Medical treatment: "&amp;L9)&amp;IF(OR(J9="",LEFT(J9,3)="Not"),"",CHAR(10)&amp;"Smoker: "&amp;J9)&amp;IF(OR(K9="",LEFT(K9,3)="Not"),"",CHAR(10)&amp;"Alcohol: "&amp;K9)&amp;CHAR(10)&amp;"Last week: "&amp;"Cardio="&amp;M9&amp;", "&amp;"Strength="&amp;N9&amp;", "&amp;"Shape="&amp;O9&amp;", "&amp;"Strength &amp; Conditioning="&amp;P9&amp;", "&amp;"Wellness="&amp;Q9&amp;", "&amp;"Red Light Therapy="&amp;R9&amp;CHAR(10)&amp;CHAR(10)&amp;'Prompt template (optimized)'!$A$5</f>
        <v>You are a fitness consultant. Plan the member's class bookings for next week so they progress toward their stated goal.
Weekly slot caps (never exceed): Cardio 1, Strength 2, Shape 2, Strength &amp; Conditioning 2, Wellness 2, Red Light Therapy 5.
Classes:
- Cardio: high-intensity intervals (bodyweight, equipment, machines); maximum calorie burn.
- Strength: resistance training and time under tension; muscle density, mobility, technique.
- Shape: high-tempo cardio and strength mix; muscular endurance, body balance, calorie burn.
- Strength &amp; Conditioning: power, endurance and functional full-body conditioning; stamina, coordination.
- Wellness: mobility, flexibility and mindful recovery.
- Red Light Therapy: 10-minute recovery session, before or after a workout; recovery, skin, inflammation.
Rules:
- Use whole numbers from 0 up to each cap.
- Use last week's sessions as the baseline and progress toward the goal without a sudden jump.
- Keep the total realistic for the member's exercise frequency, health and recovery.
Member:
Profile: Female, 53
Goal: Weight loss
Exercise frequency: 5-6 times / week
Training history: 3+ years
Smoker: No
Alcohol: Never
Last week: Cardio=1, Strength=1, Shape=2, Strength &amp; Conditioning=2, Wellness=0, Red Light Therapy=2
Answer with JSON only, no other text: {"Cardio":#,"Strength":#,"Shape":#,"Strength &amp; Conditioning":#,"Wellness":#,"Red Light Therapy":#}</v>
      </c>
      <c r="V9" s="12" t="n">
        <f aca="false">ROUND(LEN(U9)/4,0)</f>
        <v>352</v>
      </c>
      <c r="W9" s="12" t="n">
        <f aca="false">T9-V9</f>
        <v>219</v>
      </c>
    </row>
    <row r="10" customFormat="false" ht="449.25" hidden="false" customHeight="false" outlineLevel="0" collapsed="false">
      <c r="A10" s="12" t="str">
        <f aca="false">'Raw IDs'!A10</f>
        <v>m9</v>
      </c>
      <c r="B10" s="13" t="s">
        <v>61</v>
      </c>
      <c r="C10" s="13" t="n">
        <v>35</v>
      </c>
      <c r="D10" s="14" t="str">
        <f aca="false">'Wellness preferences'!C10</f>
        <v>Not provided</v>
      </c>
      <c r="E10" s="15"/>
      <c r="F10" s="14" t="str">
        <f aca="false">'Wellness preferences'!D10</f>
        <v>1-2 times / week</v>
      </c>
      <c r="G10" s="14" t="str">
        <f aca="false">'Wellness preferences'!E10</f>
        <v>3+ years</v>
      </c>
      <c r="H10" s="15"/>
      <c r="I10" s="15"/>
      <c r="J10" s="12" t="str">
        <f aca="false">'Wellness preferences'!F10</f>
        <v>Social / Occasional</v>
      </c>
      <c r="K10" s="12" t="str">
        <f aca="false">'Wellness preferences'!G10</f>
        <v>Never</v>
      </c>
      <c r="L10" s="16"/>
      <c r="M10" s="12" t="n">
        <f aca="false">'Last week attendance'!C10</f>
        <v>1</v>
      </c>
      <c r="N10" s="12" t="n">
        <f aca="false">'Last week attendance'!D10</f>
        <v>0</v>
      </c>
      <c r="O10" s="12" t="n">
        <f aca="false">'Last week attendance'!E10</f>
        <v>0</v>
      </c>
      <c r="P10" s="12" t="n">
        <f aca="false">'Last week attendance'!F10</f>
        <v>1</v>
      </c>
      <c r="Q10" s="12" t="n">
        <f aca="false">'Last week attendance'!G10</f>
        <v>0</v>
      </c>
      <c r="R10" s="12" t="n">
        <f aca="false">'Last week attendance'!H10</f>
        <v>0</v>
      </c>
      <c r="S10" s="17" t="str">
        <f aca="false">'Prompt template'!$A$2&amp;CHAR(10)&amp;CHAR(10)&amp;"[MEMBER'S PROFILE]"&amp;CHAR(10)&amp;"Gender: "&amp;IF(B10="","Not provided",B10)&amp;CHAR(10)&amp;"Age: "&amp;IF(C10="","Not provided",C10)&amp;CHAR(10)&amp;CHAR(10)&amp;"*MEMBER'S WELLNESS QUESTIONAIRE DATA*"&amp;CHAR(10)&amp;CHAR(10)&amp;"Fitness goal: "&amp;IF(D10="","Not provided",D10)&amp;CHAR(10)&amp;CHAR(10)&amp;"Current activities: "&amp;IF(E10="","Not provided",E10)&amp;CHAR(10)&amp;"Exercise frequency: "&amp;IF(F10="","Not provided",F10)&amp;CHAR(10)&amp;"Active: "&amp;IF(G10="","Not provided",G10)&amp;CHAR(10)&amp;"Conditions: "&amp;IF(H10="","Not provided",H10)&amp;CHAR(10)&amp;"Medications: "&amp;IF(I10="","Not provided",I10)&amp;CHAR(10)&amp;"Smoker: "&amp;IF(J10="","Not provided",J10)&amp;CHAR(10)&amp;"Alcohol consumption: "&amp;IF(K10="","Not provided",K10)&amp;CHAR(10)&amp;"Medical treatment: "&amp;IF(L10="","Not provided",L10)&amp;CHAR(10)&amp;CHAR(10)&amp;"*LAST WEEKS SESSIONS*"&amp;CHAR(10)&amp;"Cardio="&amp;M10&amp;CHAR(10)&amp;"Strength="&amp;N10&amp;CHAR(10)&amp;"Shape="&amp;O10&amp;CHAR(10)&amp;"Strength &amp; Conditioning="&amp;P10&amp;CHAR(10)&amp;"Wellness="&amp;Q10&amp;CHAR(10)&amp;"Red Light Therapy="&amp;R10</f>
        <v>[INSTRUCTIONS]
You are a seasoned fitness consultant. You will take the following member profile and suggest their booking session goals for the next coming week and suggest how many sessions from the [CONTEXT] they need to book in order to progress in their stated fitness goal. Note that some Classes have max 1/2 sessions slots per week.
[CONTEXT]
Cardio Sessions (1 slot/week) - 50min Session. feature powerful exercise sequences performed at speed and combining bodyweight, freestanding equipment and machines. Work more, rest less, pushing your calorie burn to the max.
Strength (2 slot/week) - 50min Session. Utilizes resistance training, time under tension and functional drop sets to develop your muscle density and mobility. Perform controlled exercises and focus on technique and expanding your range of movement.
Shape (2 slot/week) - 50min Session. Combines cardio and strength training through a mix of controlled, consistent high tempo movements. Build muscular endurance, reduce body imbalance and burn calories, while also lighting up your cardiovascular system.
Strength &amp; Conditioning (2 slot/week) - 50min Session. Dynamic sequences combining power, endurance, and functional performance. Expect full body movement patterns and conditioning intervals that challenge your strength, coordination, and stamina while improving overall physical capacity.
Wellness (2 slot/week) - 30min/50min Sessions. Designed to enhance mobility, flexibility, and overall wellbeing. Slow the pace, reconnect with your body, and restore balance through mindful movement and guided mobility work.
Red Light Therapy (5 slots/week) - 10min Sessions. Boost recovery, improve skin health, and reduce inflammation with our red light therapy sessions. A quick and effective way to help your body recharge and heal faster. Pre or post workout has equal benefits.
[MEMBER'S PROFILE]
Gender: Male
Age: 35
*MEMBER'S WELLNESS QUESTIONAIRE DATA*
Fitness goal: Not provided
Current activities: Not provided
Exercise frequency: 1-2 times / week
Active: 3+ years
Conditions: Not provided
Medications: Not provided
Smoker: Social / Occasional
Alcohol consumption: Never
Medical treatment: Not provided
*LAST WEEKS SESSIONS*
Cardio=1
Strength=0
Shape=0
Strength &amp; Conditioning=1
Wellness=0
Red Light Therapy=0</v>
      </c>
      <c r="T10" s="12" t="n">
        <f aca="false">ROUND(LEN(S10)/4,0)</f>
        <v>575</v>
      </c>
      <c r="U10" s="17" t="str">
        <f aca="false">'Prompt template (optimized)'!$A$2&amp;CHAR(10)&amp;CHAR(10)&amp;"Member:"&amp;IF(AND(B10="",C10=""),"",CHAR(10)&amp;"Profile: "&amp;_xlfn.TEXTJOIN(", ",TRUE(),B10,C10))&amp;IF(OR(D10="",LEFT(D10,3)="Not"),"",CHAR(10)&amp;"Goal: "&amp;D10)&amp;IF(OR(E10="",LEFT(E10,3)="Not"),"",CHAR(10)&amp;"Activities: "&amp;E10)&amp;IF(OR(F10="",LEFT(F10,3)="Not"),"",CHAR(10)&amp;"Exercise frequency: "&amp;F10)&amp;IF(OR(G10="",LEFT(G10,3)="Not"),"",CHAR(10)&amp;"Training history: "&amp;G10)&amp;IF(OR(H10="",LEFT(H10,3)="Not"),"",CHAR(10)&amp;"Conditions: "&amp;H10)&amp;IF(OR(I10="",LEFT(I10,3)="Not"),"",CHAR(10)&amp;"Medications: "&amp;I10)&amp;IF(OR(L10="",LEFT(L10,3)="Not"),"",CHAR(10)&amp;"Medical treatment: "&amp;L10)&amp;IF(OR(J10="",LEFT(J10,3)="Not"),"",CHAR(10)&amp;"Smoker: "&amp;J10)&amp;IF(OR(K10="",LEFT(K10,3)="Not"),"",CHAR(10)&amp;"Alcohol: "&amp;K10)&amp;CHAR(10)&amp;"Last week: "&amp;"Cardio="&amp;M10&amp;", "&amp;"Strength="&amp;N10&amp;", "&amp;"Shape="&amp;O10&amp;", "&amp;"Strength &amp; Conditioning="&amp;P10&amp;", "&amp;"Wellness="&amp;Q10&amp;", "&amp;"Red Light Therapy="&amp;R10&amp;CHAR(10)&amp;CHAR(10)&amp;'Prompt template (optimized)'!$A$5</f>
        <v>You are a fitness consultant. Plan the member's class bookings for next week so they progress toward their stated goal.
Weekly slot caps (never exceed): Cardio 1, Strength 2, Shape 2, Strength &amp; Conditioning 2, Wellness 2, Red Light Therapy 5.
Classes:
- Cardio: high-intensity intervals (bodyweight, equipment, machines); maximum calorie burn.
- Strength: resistance training and time under tension; muscle density, mobility, technique.
- Shape: high-tempo cardio and strength mix; muscular endurance, body balance, calorie burn.
- Strength &amp; Conditioning: power, endurance and functional full-body conditioning; stamina, coordination.
- Wellness: mobility, flexibility and mindful recovery.
- Red Light Therapy: 10-minute recovery session, before or after a workout; recovery, skin, inflammation.
Rules:
- Use whole numbers from 0 up to each cap.
- Use last week's sessions as the baseline and progress toward the goal without a sudden jump.
- Keep the total realistic for the member's exercise frequency, health and recovery.
Member:
Profile: Male, 35
Exercise frequency: 1-2 times / week
Training history: 3+ years
Smoker: Social / Occasional
Alcohol: Never
Last week: Cardio=1, Strength=0, Shape=0, Strength &amp; Conditioning=1, Wellness=0, Red Light Therapy=0
Answer with JSON only, no other text: {"Cardio":#,"Strength":#,"Shape":#,"Strength &amp; Conditioning":#,"Wellness":#,"Red Light Therapy":#}</v>
      </c>
      <c r="V10" s="12" t="n">
        <f aca="false">ROUND(LEN(U10)/4,0)</f>
        <v>351</v>
      </c>
      <c r="W10" s="12" t="n">
        <f aca="false">T10-V10</f>
        <v>224</v>
      </c>
    </row>
    <row r="11" customFormat="false" ht="449.25" hidden="false" customHeight="false" outlineLevel="0" collapsed="false">
      <c r="A11" s="12" t="str">
        <f aca="false">'Raw IDs'!A11</f>
        <v>m10</v>
      </c>
      <c r="B11" s="13" t="s">
        <v>61</v>
      </c>
      <c r="C11" s="13" t="n">
        <v>38</v>
      </c>
      <c r="D11" s="14" t="str">
        <f aca="false">'Wellness preferences'!C11</f>
        <v>Not provided</v>
      </c>
      <c r="E11" s="15"/>
      <c r="F11" s="14" t="str">
        <f aca="false">'Wellness preferences'!D11</f>
        <v>1-2 times / week</v>
      </c>
      <c r="G11" s="14" t="str">
        <f aca="false">'Wellness preferences'!E11</f>
        <v>Less than a year</v>
      </c>
      <c r="H11" s="15"/>
      <c r="I11" s="15"/>
      <c r="J11" s="12" t="str">
        <f aca="false">'Wellness preferences'!F11</f>
        <v>No</v>
      </c>
      <c r="K11" s="12" t="str">
        <f aca="false">'Wellness preferences'!G11</f>
        <v>Never</v>
      </c>
      <c r="L11" s="16"/>
      <c r="M11" s="12" t="n">
        <f aca="false">'Last week attendance'!C11</f>
        <v>0</v>
      </c>
      <c r="N11" s="12" t="n">
        <f aca="false">'Last week attendance'!D11</f>
        <v>1</v>
      </c>
      <c r="O11" s="12" t="n">
        <f aca="false">'Last week attendance'!E11</f>
        <v>0</v>
      </c>
      <c r="P11" s="12" t="n">
        <f aca="false">'Last week attendance'!F11</f>
        <v>0</v>
      </c>
      <c r="Q11" s="12" t="n">
        <f aca="false">'Last week attendance'!G11</f>
        <v>1</v>
      </c>
      <c r="R11" s="12" t="n">
        <f aca="false">'Last week attendance'!H11</f>
        <v>1</v>
      </c>
      <c r="S11" s="17" t="str">
        <f aca="false">'Prompt template'!$A$2&amp;CHAR(10)&amp;CHAR(10)&amp;"[MEMBER'S PROFILE]"&amp;CHAR(10)&amp;"Gender: "&amp;IF(B11="","Not provided",B11)&amp;CHAR(10)&amp;"Age: "&amp;IF(C11="","Not provided",C11)&amp;CHAR(10)&amp;CHAR(10)&amp;"*MEMBER'S WELLNESS QUESTIONAIRE DATA*"&amp;CHAR(10)&amp;CHAR(10)&amp;"Fitness goal: "&amp;IF(D11="","Not provided",D11)&amp;CHAR(10)&amp;CHAR(10)&amp;"Current activities: "&amp;IF(E11="","Not provided",E11)&amp;CHAR(10)&amp;"Exercise frequency: "&amp;IF(F11="","Not provided",F11)&amp;CHAR(10)&amp;"Active: "&amp;IF(G11="","Not provided",G11)&amp;CHAR(10)&amp;"Conditions: "&amp;IF(H11="","Not provided",H11)&amp;CHAR(10)&amp;"Medications: "&amp;IF(I11="","Not provided",I11)&amp;CHAR(10)&amp;"Smoker: "&amp;IF(J11="","Not provided",J11)&amp;CHAR(10)&amp;"Alcohol consumption: "&amp;IF(K11="","Not provided",K11)&amp;CHAR(10)&amp;"Medical treatment: "&amp;IF(L11="","Not provided",L11)&amp;CHAR(10)&amp;CHAR(10)&amp;"*LAST WEEKS SESSIONS*"&amp;CHAR(10)&amp;"Cardio="&amp;M11&amp;CHAR(10)&amp;"Strength="&amp;N11&amp;CHAR(10)&amp;"Shape="&amp;O11&amp;CHAR(10)&amp;"Strength &amp; Conditioning="&amp;P11&amp;CHAR(10)&amp;"Wellness="&amp;Q11&amp;CHAR(10)&amp;"Red Light Therapy="&amp;R11</f>
        <v>[INSTRUCTIONS]
You are a seasoned fitness consultant. You will take the following member profile and suggest their booking session goals for the next coming week and suggest how many sessions from the [CONTEXT] they need to book in order to progress in their stated fitness goal. Note that some Classes have max 1/2 sessions slots per week.
[CONTEXT]
Cardio Sessions (1 slot/week) - 50min Session. feature powerful exercise sequences performed at speed and combining bodyweight, freestanding equipment and machines. Work more, rest less, pushing your calorie burn to the max.
Strength (2 slot/week) - 50min Session. Utilizes resistance training, time under tension and functional drop sets to develop your muscle density and mobility. Perform controlled exercises and focus on technique and expanding your range of movement.
Shape (2 slot/week) - 50min Session. Combines cardio and strength training through a mix of controlled, consistent high tempo movements. Build muscular endurance, reduce body imbalance and burn calories, while also lighting up your cardiovascular system.
Strength &amp; Conditioning (2 slot/week) - 50min Session. Dynamic sequences combining power, endurance, and functional performance. Expect full body movement patterns and conditioning intervals that challenge your strength, coordination, and stamina while improving overall physical capacity.
Wellness (2 slot/week) - 30min/50min Sessions. Designed to enhance mobility, flexibility, and overall wellbeing. Slow the pace, reconnect with your body, and restore balance through mindful movement and guided mobility work.
Red Light Therapy (5 slots/week) - 10min Sessions. Boost recovery, improve skin health, and reduce inflammation with our red light therapy sessions. A quick and effective way to help your body recharge and heal faster. Pre or post workout has equal benefits.
[MEMBER'S PROFILE]
Gender: Male
Age: 38
*MEMBER'S WELLNESS QUESTIONAIRE DATA*
Fitness goal: Not provided
Current activities: Not provided
Exercise frequency: 1-2 times / week
Active: Less than a year
Conditions: Not provided
Medications: Not provided
Smoker: No
Alcohol consumption: Never
Medical treatment: Not provided
*LAST WEEKS SESSIONS*
Cardio=0
Strength=1
Shape=0
Strength &amp; Conditioning=0
Wellness=1
Red Light Therapy=1</v>
      </c>
      <c r="T11" s="12" t="n">
        <f aca="false">ROUND(LEN(S11)/4,0)</f>
        <v>573</v>
      </c>
      <c r="U11" s="17" t="str">
        <f aca="false">'Prompt template (optimized)'!$A$2&amp;CHAR(10)&amp;CHAR(10)&amp;"Member:"&amp;IF(AND(B11="",C11=""),"",CHAR(10)&amp;"Profile: "&amp;_xlfn.TEXTJOIN(", ",TRUE(),B11,C11))&amp;IF(OR(D11="",LEFT(D11,3)="Not"),"",CHAR(10)&amp;"Goal: "&amp;D11)&amp;IF(OR(E11="",LEFT(E11,3)="Not"),"",CHAR(10)&amp;"Activities: "&amp;E11)&amp;IF(OR(F11="",LEFT(F11,3)="Not"),"",CHAR(10)&amp;"Exercise frequency: "&amp;F11)&amp;IF(OR(G11="",LEFT(G11,3)="Not"),"",CHAR(10)&amp;"Training history: "&amp;G11)&amp;IF(OR(H11="",LEFT(H11,3)="Not"),"",CHAR(10)&amp;"Conditions: "&amp;H11)&amp;IF(OR(I11="",LEFT(I11,3)="Not"),"",CHAR(10)&amp;"Medications: "&amp;I11)&amp;IF(OR(L11="",LEFT(L11,3)="Not"),"",CHAR(10)&amp;"Medical treatment: "&amp;L11)&amp;IF(OR(J11="",LEFT(J11,3)="Not"),"",CHAR(10)&amp;"Smoker: "&amp;J11)&amp;IF(OR(K11="",LEFT(K11,3)="Not"),"",CHAR(10)&amp;"Alcohol: "&amp;K11)&amp;CHAR(10)&amp;"Last week: "&amp;"Cardio="&amp;M11&amp;", "&amp;"Strength="&amp;N11&amp;", "&amp;"Shape="&amp;O11&amp;", "&amp;"Strength &amp; Conditioning="&amp;P11&amp;", "&amp;"Wellness="&amp;Q11&amp;", "&amp;"Red Light Therapy="&amp;R11&amp;CHAR(10)&amp;CHAR(10)&amp;'Prompt template (optimized)'!$A$5</f>
        <v>You are a fitness consultant. Plan the member's class bookings for next week so they progress toward their stated goal.
Weekly slot caps (never exceed): Cardio 1, Strength 2, Shape 2, Strength &amp; Conditioning 2, Wellness 2, Red Light Therapy 5.
Classes:
- Cardio: high-intensity intervals (bodyweight, equipment, machines); maximum calorie burn.
- Strength: resistance training and time under tension; muscle density, mobility, technique.
- Shape: high-tempo cardio and strength mix; muscular endurance, body balance, calorie burn.
- Strength &amp; Conditioning: power, endurance and functional full-body conditioning; stamina, coordination.
- Wellness: mobility, flexibility and mindful recovery.
- Red Light Therapy: 10-minute recovery session, before or after a workout; recovery, skin, inflammation.
Rules:
- Use whole numbers from 0 up to each cap.
- Use last week's sessions as the baseline and progress toward the goal without a sudden jump.
- Keep the total realistic for the member's exercise frequency, health and recovery.
Member:
Profile: Male, 38
Exercise frequency: 1-2 times / week
Training history: Less than a year
Smoker: No
Alcohol: Never
Last week: Cardio=0, Strength=1, Shape=0, Strength &amp; Conditioning=0, Wellness=1, Red Light Therapy=1
Answer with JSON only, no other text: {"Cardio":#,"Strength":#,"Shape":#,"Strength &amp; Conditioning":#,"Wellness":#,"Red Light Therapy":#}</v>
      </c>
      <c r="V11" s="12" t="n">
        <f aca="false">ROUND(LEN(U11)/4,0)</f>
        <v>349</v>
      </c>
      <c r="W11" s="12" t="n">
        <f aca="false">T11-V11</f>
        <v>224</v>
      </c>
    </row>
    <row r="12" customFormat="false" ht="449.25" hidden="false" customHeight="false" outlineLevel="0" collapsed="false">
      <c r="A12" s="12" t="str">
        <f aca="false">'Raw IDs'!A12</f>
        <v>m11</v>
      </c>
      <c r="B12" s="13" t="s">
        <v>61</v>
      </c>
      <c r="C12" s="13" t="n">
        <v>44</v>
      </c>
      <c r="D12" s="14" t="str">
        <f aca="false">'Wellness preferences'!C12</f>
        <v>Not provided</v>
      </c>
      <c r="E12" s="15"/>
      <c r="F12" s="14" t="str">
        <f aca="false">'Wellness preferences'!D12</f>
        <v>Never</v>
      </c>
      <c r="G12" s="14" t="str">
        <f aca="false">'Wellness preferences'!E12</f>
        <v>Less than a year</v>
      </c>
      <c r="H12" s="15"/>
      <c r="I12" s="15"/>
      <c r="J12" s="12" t="str">
        <f aca="false">'Wellness preferences'!F12</f>
        <v>Yes</v>
      </c>
      <c r="K12" s="12" t="str">
        <f aca="false">'Wellness preferences'!G12</f>
        <v>Occasionally</v>
      </c>
      <c r="L12" s="16"/>
      <c r="M12" s="12" t="n">
        <f aca="false">'Last week attendance'!C12</f>
        <v>0</v>
      </c>
      <c r="N12" s="12" t="n">
        <f aca="false">'Last week attendance'!D12</f>
        <v>0</v>
      </c>
      <c r="O12" s="12" t="n">
        <f aca="false">'Last week attendance'!E12</f>
        <v>0</v>
      </c>
      <c r="P12" s="12" t="n">
        <f aca="false">'Last week attendance'!F12</f>
        <v>0</v>
      </c>
      <c r="Q12" s="12" t="n">
        <f aca="false">'Last week attendance'!G12</f>
        <v>0</v>
      </c>
      <c r="R12" s="12" t="n">
        <f aca="false">'Last week attendance'!H12</f>
        <v>0</v>
      </c>
      <c r="S12" s="17" t="str">
        <f aca="false">'Prompt template'!$A$2&amp;CHAR(10)&amp;CHAR(10)&amp;"[MEMBER'S PROFILE]"&amp;CHAR(10)&amp;"Gender: "&amp;IF(B12="","Not provided",B12)&amp;CHAR(10)&amp;"Age: "&amp;IF(C12="","Not provided",C12)&amp;CHAR(10)&amp;CHAR(10)&amp;"*MEMBER'S WELLNESS QUESTIONAIRE DATA*"&amp;CHAR(10)&amp;CHAR(10)&amp;"Fitness goal: "&amp;IF(D12="","Not provided",D12)&amp;CHAR(10)&amp;CHAR(10)&amp;"Current activities: "&amp;IF(E12="","Not provided",E12)&amp;CHAR(10)&amp;"Exercise frequency: "&amp;IF(F12="","Not provided",F12)&amp;CHAR(10)&amp;"Active: "&amp;IF(G12="","Not provided",G12)&amp;CHAR(10)&amp;"Conditions: "&amp;IF(H12="","Not provided",H12)&amp;CHAR(10)&amp;"Medications: "&amp;IF(I12="","Not provided",I12)&amp;CHAR(10)&amp;"Smoker: "&amp;IF(J12="","Not provided",J12)&amp;CHAR(10)&amp;"Alcohol consumption: "&amp;IF(K12="","Not provided",K12)&amp;CHAR(10)&amp;"Medical treatment: "&amp;IF(L12="","Not provided",L12)&amp;CHAR(10)&amp;CHAR(10)&amp;"*LAST WEEKS SESSIONS*"&amp;CHAR(10)&amp;"Cardio="&amp;M12&amp;CHAR(10)&amp;"Strength="&amp;N12&amp;CHAR(10)&amp;"Shape="&amp;O12&amp;CHAR(10)&amp;"Strength &amp; Conditioning="&amp;P12&amp;CHAR(10)&amp;"Wellness="&amp;Q12&amp;CHAR(10)&amp;"Red Light Therapy="&amp;R12</f>
        <v>[INSTRUCTIONS]
You are a seasoned fitness consultant. You will take the following member profile and suggest their booking session goals for the next coming week and suggest how many sessions from the [CONTEXT] they need to book in order to progress in their stated fitness goal. Note that some Classes have max 1/2 sessions slots per week.
[CONTEXT]
Cardio Sessions (1 slot/week) - 50min Session. feature powerful exercise sequences performed at speed and combining bodyweight, freestanding equipment and machines. Work more, rest less, pushing your calorie burn to the max.
Strength (2 slot/week) - 50min Session. Utilizes resistance training, time under tension and functional drop sets to develop your muscle density and mobility. Perform controlled exercises and focus on technique and expanding your range of movement.
Shape (2 slot/week) - 50min Session. Combines cardio and strength training through a mix of controlled, consistent high tempo movements. Build muscular endurance, reduce body imbalance and burn calories, while also lighting up your cardiovascular system.
Strength &amp; Conditioning (2 slot/week) - 50min Session. Dynamic sequences combining power, endurance, and functional performance. Expect full body movement patterns and conditioning intervals that challenge your strength, coordination, and stamina while improving overall physical capacity.
Wellness (2 slot/week) - 30min/50min Sessions. Designed to enhance mobility, flexibility, and overall wellbeing. Slow the pace, reconnect with your body, and restore balance through mindful movement and guided mobility work.
Red Light Therapy (5 slots/week) - 10min Sessions. Boost recovery, improve skin health, and reduce inflammation with our red light therapy sessions. A quick and effective way to help your body recharge and heal faster. Pre or post workout has equal benefits.
[MEMBER'S PROFILE]
Gender: Male
Age: 44
*MEMBER'S WELLNESS QUESTIONAIRE DATA*
Fitness goal: Not provided
Current activities: Not provided
Exercise frequency: Never
Active: Less than a year
Conditions: Not provided
Medications: Not provided
Smoker: Yes
Alcohol consumption: Occasionally
Medical treatment: Not provided
*LAST WEEKS SESSIONS*
Cardio=0
Strength=0
Shape=0
Strength &amp; Conditioning=0
Wellness=0
Red Light Therapy=0</v>
      </c>
      <c r="T12" s="12" t="n">
        <f aca="false">ROUND(LEN(S12)/4,0)</f>
        <v>572</v>
      </c>
      <c r="U12" s="17" t="str">
        <f aca="false">'Prompt template (optimized)'!$A$2&amp;CHAR(10)&amp;CHAR(10)&amp;"Member:"&amp;IF(AND(B12="",C12=""),"",CHAR(10)&amp;"Profile: "&amp;_xlfn.TEXTJOIN(", ",TRUE(),B12,C12))&amp;IF(OR(D12="",LEFT(D12,3)="Not"),"",CHAR(10)&amp;"Goal: "&amp;D12)&amp;IF(OR(E12="",LEFT(E12,3)="Not"),"",CHAR(10)&amp;"Activities: "&amp;E12)&amp;IF(OR(F12="",LEFT(F12,3)="Not"),"",CHAR(10)&amp;"Exercise frequency: "&amp;F12)&amp;IF(OR(G12="",LEFT(G12,3)="Not"),"",CHAR(10)&amp;"Training history: "&amp;G12)&amp;IF(OR(H12="",LEFT(H12,3)="Not"),"",CHAR(10)&amp;"Conditions: "&amp;H12)&amp;IF(OR(I12="",LEFT(I12,3)="Not"),"",CHAR(10)&amp;"Medications: "&amp;I12)&amp;IF(OR(L12="",LEFT(L12,3)="Not"),"",CHAR(10)&amp;"Medical treatment: "&amp;L12)&amp;IF(OR(J12="",LEFT(J12,3)="Not"),"",CHAR(10)&amp;"Smoker: "&amp;J12)&amp;IF(OR(K12="",LEFT(K12,3)="Not"),"",CHAR(10)&amp;"Alcohol: "&amp;K12)&amp;CHAR(10)&amp;"Last week: "&amp;"Cardio="&amp;M12&amp;", "&amp;"Strength="&amp;N12&amp;", "&amp;"Shape="&amp;O12&amp;", "&amp;"Strength &amp; Conditioning="&amp;P12&amp;", "&amp;"Wellness="&amp;Q12&amp;", "&amp;"Red Light Therapy="&amp;R12&amp;CHAR(10)&amp;CHAR(10)&amp;'Prompt template (optimized)'!$A$5</f>
        <v>You are a fitness consultant. Plan the member's class bookings for next week so they progress toward their stated goal.
Weekly slot caps (never exceed): Cardio 1, Strength 2, Shape 2, Strength &amp; Conditioning 2, Wellness 2, Red Light Therapy 5.
Classes:
- Cardio: high-intensity intervals (bodyweight, equipment, machines); maximum calorie burn.
- Strength: resistance training and time under tension; muscle density, mobility, technique.
- Shape: high-tempo cardio and strength mix; muscular endurance, body balance, calorie burn.
- Strength &amp; Conditioning: power, endurance and functional full-body conditioning; stamina, coordination.
- Wellness: mobility, flexibility and mindful recovery.
- Red Light Therapy: 10-minute recovery session, before or after a workout; recovery, skin, inflammation.
Rules:
- Use whole numbers from 0 up to each cap.
- Use last week's sessions as the baseline and progress toward the goal without a sudden jump.
- Keep the total realistic for the member's exercise frequency, health and recovery.
Member:
Profile: Male, 44
Exercise frequency: Never
Training history: Less than a year
Smoker: Yes
Alcohol: Occasionally
Last week: Cardio=0, Strength=0, Shape=0, Strength &amp; Conditioning=0, Wellness=0, Red Light Therapy=0
Answer with JSON only, no other text: {"Cardio":#,"Strength":#,"Shape":#,"Strength &amp; Conditioning":#,"Wellness":#,"Red Light Therapy":#}</v>
      </c>
      <c r="V12" s="12" t="n">
        <f aca="false">ROUND(LEN(U12)/4,0)</f>
        <v>348</v>
      </c>
      <c r="W12" s="12" t="n">
        <f aca="false">T12-V12</f>
        <v>224</v>
      </c>
    </row>
    <row r="13" customFormat="false" ht="449.25" hidden="false" customHeight="false" outlineLevel="0" collapsed="false">
      <c r="A13" s="12" t="str">
        <f aca="false">'Raw IDs'!A13</f>
        <v>m12</v>
      </c>
      <c r="B13" s="13" t="s">
        <v>61</v>
      </c>
      <c r="C13" s="13" t="n">
        <v>54</v>
      </c>
      <c r="D13" s="14" t="str">
        <f aca="false">'Wellness preferences'!C13</f>
        <v>Not provided</v>
      </c>
      <c r="E13" s="15"/>
      <c r="F13" s="14" t="str">
        <f aca="false">'Wellness preferences'!D13</f>
        <v>3-4 times / week</v>
      </c>
      <c r="G13" s="14" t="str">
        <f aca="false">'Wellness preferences'!E13</f>
        <v>Less than a year</v>
      </c>
      <c r="H13" s="15"/>
      <c r="I13" s="15"/>
      <c r="J13" s="12" t="str">
        <f aca="false">'Wellness preferences'!F13</f>
        <v>Social / Occasional</v>
      </c>
      <c r="K13" s="12" t="str">
        <f aca="false">'Wellness preferences'!G13</f>
        <v>Occasionally</v>
      </c>
      <c r="L13" s="16"/>
      <c r="M13" s="12" t="n">
        <f aca="false">'Last week attendance'!C13</f>
        <v>1</v>
      </c>
      <c r="N13" s="12" t="n">
        <f aca="false">'Last week attendance'!D13</f>
        <v>0</v>
      </c>
      <c r="O13" s="12" t="n">
        <f aca="false">'Last week attendance'!E13</f>
        <v>2</v>
      </c>
      <c r="P13" s="12" t="n">
        <f aca="false">'Last week attendance'!F13</f>
        <v>1</v>
      </c>
      <c r="Q13" s="12" t="n">
        <f aca="false">'Last week attendance'!G13</f>
        <v>0</v>
      </c>
      <c r="R13" s="12" t="n">
        <f aca="false">'Last week attendance'!H13</f>
        <v>0</v>
      </c>
      <c r="S13" s="17" t="str">
        <f aca="false">'Prompt template'!$A$2&amp;CHAR(10)&amp;CHAR(10)&amp;"[MEMBER'S PROFILE]"&amp;CHAR(10)&amp;"Gender: "&amp;IF(B13="","Not provided",B13)&amp;CHAR(10)&amp;"Age: "&amp;IF(C13="","Not provided",C13)&amp;CHAR(10)&amp;CHAR(10)&amp;"*MEMBER'S WELLNESS QUESTIONAIRE DATA*"&amp;CHAR(10)&amp;CHAR(10)&amp;"Fitness goal: "&amp;IF(D13="","Not provided",D13)&amp;CHAR(10)&amp;CHAR(10)&amp;"Current activities: "&amp;IF(E13="","Not provided",E13)&amp;CHAR(10)&amp;"Exercise frequency: "&amp;IF(F13="","Not provided",F13)&amp;CHAR(10)&amp;"Active: "&amp;IF(G13="","Not provided",G13)&amp;CHAR(10)&amp;"Conditions: "&amp;IF(H13="","Not provided",H13)&amp;CHAR(10)&amp;"Medications: "&amp;IF(I13="","Not provided",I13)&amp;CHAR(10)&amp;"Smoker: "&amp;IF(J13="","Not provided",J13)&amp;CHAR(10)&amp;"Alcohol consumption: "&amp;IF(K13="","Not provided",K13)&amp;CHAR(10)&amp;"Medical treatment: "&amp;IF(L13="","Not provided",L13)&amp;CHAR(10)&amp;CHAR(10)&amp;"*LAST WEEKS SESSIONS*"&amp;CHAR(10)&amp;"Cardio="&amp;M13&amp;CHAR(10)&amp;"Strength="&amp;N13&amp;CHAR(10)&amp;"Shape="&amp;O13&amp;CHAR(10)&amp;"Strength &amp; Conditioning="&amp;P13&amp;CHAR(10)&amp;"Wellness="&amp;Q13&amp;CHAR(10)&amp;"Red Light Therapy="&amp;R13</f>
        <v>[INSTRUCTIONS]
You are a seasoned fitness consultant. You will take the following member profile and suggest their booking session goals for the next coming week and suggest how many sessions from the [CONTEXT] they need to book in order to progress in their stated fitness goal. Note that some Classes have max 1/2 sessions slots per week.
[CONTEXT]
Cardio Sessions (1 slot/week) - 50min Session. feature powerful exercise sequences performed at speed and combining bodyweight, freestanding equipment and machines. Work more, rest less, pushing your calorie burn to the max.
Strength (2 slot/week) - 50min Session. Utilizes resistance training, time under tension and functional drop sets to develop your muscle density and mobility. Perform controlled exercises and focus on technique and expanding your range of movement.
Shape (2 slot/week) - 50min Session. Combines cardio and strength training through a mix of controlled, consistent high tempo movements. Build muscular endurance, reduce body imbalance and burn calories, while also lighting up your cardiovascular system.
Strength &amp; Conditioning (2 slot/week) - 50min Session. Dynamic sequences combining power, endurance, and functional performance. Expect full body movement patterns and conditioning intervals that challenge your strength, coordination, and stamina while improving overall physical capacity.
Wellness (2 slot/week) - 30min/50min Sessions. Designed to enhance mobility, flexibility, and overall wellbeing. Slow the pace, reconnect with your body, and restore balance through mindful movement and guided mobility work.
Red Light Therapy (5 slots/week) - 10min Sessions. Boost recovery, improve skin health, and reduce inflammation with our red light therapy sessions. A quick and effective way to help your body recharge and heal faster. Pre or post workout has equal benefits.
[MEMBER'S PROFILE]
Gender: Male
Age: 54
*MEMBER'S WELLNESS QUESTIONAIRE DATA*
Fitness goal: Not provided
Current activities: Not provided
Exercise frequency: 3-4 times / week
Active: Less than a year
Conditions: Not provided
Medications: Not provided
Smoker: Social / Occasional
Alcohol consumption: Occasionally
Medical treatment: Not provided
*LAST WEEKS SESSIONS*
Cardio=1
Strength=0
Shape=2
Strength &amp; Conditioning=1
Wellness=0
Red Light Therapy=0</v>
      </c>
      <c r="T13" s="12" t="n">
        <f aca="false">ROUND(LEN(S13)/4,0)</f>
        <v>579</v>
      </c>
      <c r="U13" s="17" t="str">
        <f aca="false">'Prompt template (optimized)'!$A$2&amp;CHAR(10)&amp;CHAR(10)&amp;"Member:"&amp;IF(AND(B13="",C13=""),"",CHAR(10)&amp;"Profile: "&amp;_xlfn.TEXTJOIN(", ",TRUE(),B13,C13))&amp;IF(OR(D13="",LEFT(D13,3)="Not"),"",CHAR(10)&amp;"Goal: "&amp;D13)&amp;IF(OR(E13="",LEFT(E13,3)="Not"),"",CHAR(10)&amp;"Activities: "&amp;E13)&amp;IF(OR(F13="",LEFT(F13,3)="Not"),"",CHAR(10)&amp;"Exercise frequency: "&amp;F13)&amp;IF(OR(G13="",LEFT(G13,3)="Not"),"",CHAR(10)&amp;"Training history: "&amp;G13)&amp;IF(OR(H13="",LEFT(H13,3)="Not"),"",CHAR(10)&amp;"Conditions: "&amp;H13)&amp;IF(OR(I13="",LEFT(I13,3)="Not"),"",CHAR(10)&amp;"Medications: "&amp;I13)&amp;IF(OR(L13="",LEFT(L13,3)="Not"),"",CHAR(10)&amp;"Medical treatment: "&amp;L13)&amp;IF(OR(J13="",LEFT(J13,3)="Not"),"",CHAR(10)&amp;"Smoker: "&amp;J13)&amp;IF(OR(K13="",LEFT(K13,3)="Not"),"",CHAR(10)&amp;"Alcohol: "&amp;K13)&amp;CHAR(10)&amp;"Last week: "&amp;"Cardio="&amp;M13&amp;", "&amp;"Strength="&amp;N13&amp;", "&amp;"Shape="&amp;O13&amp;", "&amp;"Strength &amp; Conditioning="&amp;P13&amp;", "&amp;"Wellness="&amp;Q13&amp;", "&amp;"Red Light Therapy="&amp;R13&amp;CHAR(10)&amp;CHAR(10)&amp;'Prompt template (optimized)'!$A$5</f>
        <v>You are a fitness consultant. Plan the member's class bookings for next week so they progress toward their stated goal.
Weekly slot caps (never exceed): Cardio 1, Strength 2, Shape 2, Strength &amp; Conditioning 2, Wellness 2, Red Light Therapy 5.
Classes:
- Cardio: high-intensity intervals (bodyweight, equipment, machines); maximum calorie burn.
- Strength: resistance training and time under tension; muscle density, mobility, technique.
- Shape: high-tempo cardio and strength mix; muscular endurance, body balance, calorie burn.
- Strength &amp; Conditioning: power, endurance and functional full-body conditioning; stamina, coordination.
- Wellness: mobility, flexibility and mindful recovery.
- Red Light Therapy: 10-minute recovery session, before or after a workout; recovery, skin, inflammation.
Rules:
- Use whole numbers from 0 up to each cap.
- Use last week's sessions as the baseline and progress toward the goal without a sudden jump.
- Keep the total realistic for the member's exercise frequency, health and recovery.
Member:
Profile: Male, 54
Exercise frequency: 3-4 times / week
Training history: Less than a year
Smoker: Social / Occasional
Alcohol: Occasionally
Last week: Cardio=1, Strength=0, Shape=2, Strength &amp; Conditioning=1, Wellness=0, Red Light Therapy=0
Answer with JSON only, no other text: {"Cardio":#,"Strength":#,"Shape":#,"Strength &amp; Conditioning":#,"Wellness":#,"Red Light Therapy":#}</v>
      </c>
      <c r="V13" s="12" t="n">
        <f aca="false">ROUND(LEN(U13)/4,0)</f>
        <v>355</v>
      </c>
      <c r="W13" s="12" t="n">
        <f aca="false">T13-V13</f>
        <v>224</v>
      </c>
    </row>
    <row r="15" customFormat="false" ht="15" hidden="false" customHeight="false" outlineLevel="0" collapsed="false">
      <c r="A15" s="6" t="s">
        <v>62</v>
      </c>
    </row>
    <row r="16" customFormat="false" ht="15" hidden="false" customHeight="false" outlineLevel="0" collapsed="false">
      <c r="A16" s="6"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5" t="s">
        <v>64</v>
      </c>
    </row>
    <row r="2" customFormat="false" ht="330" hidden="false" customHeight="true" outlineLevel="0" collapsed="false">
      <c r="A2" s="18" t="s">
        <v>65</v>
      </c>
    </row>
    <row r="4" customFormat="false" ht="15" hidden="false" customHeight="false" outlineLevel="0" collapsed="false">
      <c r="A4" s="6"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5" t="s">
        <v>67</v>
      </c>
    </row>
    <row r="2" customFormat="false" ht="249.75" hidden="false" customHeight="true" outlineLevel="0" collapsed="false">
      <c r="A2" s="19" t="s">
        <v>68</v>
      </c>
    </row>
    <row r="4" customFormat="false" ht="15" hidden="false" customHeight="false" outlineLevel="0" collapsed="false">
      <c r="A4" s="5" t="s">
        <v>69</v>
      </c>
    </row>
    <row r="5" customFormat="false" ht="45" hidden="false" customHeight="true" outlineLevel="0" collapsed="false">
      <c r="A5" s="19" t="s">
        <v>70</v>
      </c>
    </row>
    <row r="7" customFormat="false" ht="15" hidden="false" customHeight="false" outlineLevel="0" collapsed="false">
      <c r="A7" s="6"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0" min="2" style="0" width="16"/>
  </cols>
  <sheetData>
    <row r="1" customFormat="false" ht="42" hidden="false" customHeight="true" outlineLevel="0" collapsed="false">
      <c r="A1" s="1" t="s">
        <v>0</v>
      </c>
      <c r="B1" s="1" t="s">
        <v>72</v>
      </c>
      <c r="C1" s="1" t="s">
        <v>73</v>
      </c>
      <c r="D1" s="1" t="s">
        <v>74</v>
      </c>
      <c r="E1" s="1" t="s">
        <v>75</v>
      </c>
      <c r="F1" s="1" t="s">
        <v>76</v>
      </c>
      <c r="G1" s="1" t="s">
        <v>77</v>
      </c>
      <c r="H1" s="1" t="s">
        <v>78</v>
      </c>
      <c r="I1" s="1" t="s">
        <v>79</v>
      </c>
      <c r="J1" s="1" t="s">
        <v>80</v>
      </c>
      <c r="K1" s="1" t="s">
        <v>81</v>
      </c>
      <c r="L1" s="1" t="s">
        <v>82</v>
      </c>
      <c r="M1" s="1" t="s">
        <v>83</v>
      </c>
      <c r="N1" s="1" t="s">
        <v>84</v>
      </c>
      <c r="O1" s="1" t="s">
        <v>85</v>
      </c>
      <c r="P1" s="1" t="s">
        <v>86</v>
      </c>
      <c r="Q1" s="1" t="s">
        <v>87</v>
      </c>
      <c r="R1" s="1" t="s">
        <v>88</v>
      </c>
      <c r="S1" s="1" t="s">
        <v>89</v>
      </c>
      <c r="T1" s="1" t="s">
        <v>90</v>
      </c>
    </row>
    <row r="2" customFormat="false" ht="15" hidden="false" customHeight="false" outlineLevel="0" collapsed="false">
      <c r="A2" s="20" t="s">
        <v>91</v>
      </c>
      <c r="B2" s="20" t="n">
        <v>2</v>
      </c>
      <c r="C2" s="20" t="n">
        <v>2</v>
      </c>
      <c r="D2" s="20" t="n">
        <v>2</v>
      </c>
      <c r="E2" s="20" t="n">
        <v>3</v>
      </c>
      <c r="F2" s="20" t="n">
        <v>0</v>
      </c>
      <c r="G2" s="20"/>
      <c r="H2" s="20" t="n">
        <v>2</v>
      </c>
      <c r="I2" s="20" t="n">
        <v>2</v>
      </c>
      <c r="J2" s="20" t="n">
        <v>2</v>
      </c>
      <c r="K2" s="20" t="n">
        <v>0</v>
      </c>
      <c r="L2" s="20"/>
      <c r="M2" s="20"/>
      <c r="N2" s="20" t="n">
        <v>1</v>
      </c>
      <c r="O2" s="20" t="n">
        <v>1</v>
      </c>
      <c r="P2" s="20" t="n">
        <v>1</v>
      </c>
      <c r="Q2" s="20" t="n">
        <v>1</v>
      </c>
      <c r="R2" s="20" t="n">
        <v>1</v>
      </c>
      <c r="S2" s="20" t="n">
        <v>6</v>
      </c>
      <c r="T2" s="20" t="s">
        <v>92</v>
      </c>
    </row>
    <row r="3" customFormat="false" ht="15" hidden="false" customHeight="false" outlineLevel="0" collapsed="false">
      <c r="A3" s="20" t="s">
        <v>93</v>
      </c>
      <c r="B3" s="20" t="n">
        <v>1</v>
      </c>
      <c r="C3" s="20" t="n">
        <v>3</v>
      </c>
      <c r="D3" s="20" t="n">
        <v>2</v>
      </c>
      <c r="E3" s="20" t="n">
        <v>4</v>
      </c>
      <c r="F3" s="20" t="n">
        <v>0</v>
      </c>
      <c r="G3" s="20"/>
      <c r="H3" s="20" t="n">
        <v>2</v>
      </c>
      <c r="I3" s="20" t="n">
        <v>2</v>
      </c>
      <c r="J3" s="20" t="n">
        <v>2</v>
      </c>
      <c r="K3" s="20" t="n">
        <v>0</v>
      </c>
      <c r="L3" s="20"/>
      <c r="M3" s="20"/>
      <c r="N3" s="20" t="n">
        <v>2</v>
      </c>
      <c r="O3" s="20" t="n">
        <v>2</v>
      </c>
      <c r="P3" s="20" t="n">
        <v>1</v>
      </c>
      <c r="Q3" s="20" t="n">
        <v>1</v>
      </c>
      <c r="R3" s="20" t="n">
        <v>1</v>
      </c>
      <c r="S3" s="20" t="n">
        <v>7</v>
      </c>
      <c r="T3" s="20" t="s">
        <v>94</v>
      </c>
    </row>
    <row r="4" customFormat="false" ht="15" hidden="false" customHeight="false" outlineLevel="0" collapsed="false">
      <c r="A4" s="20" t="s">
        <v>95</v>
      </c>
      <c r="B4" s="20" t="n">
        <v>2</v>
      </c>
      <c r="C4" s="20" t="n">
        <v>3</v>
      </c>
      <c r="D4" s="20" t="n">
        <v>2</v>
      </c>
      <c r="E4" s="20" t="n">
        <v>4</v>
      </c>
      <c r="F4" s="20" t="n">
        <v>0</v>
      </c>
      <c r="G4" s="20"/>
      <c r="H4" s="20" t="n">
        <v>2</v>
      </c>
      <c r="I4" s="20" t="n">
        <v>1</v>
      </c>
      <c r="J4" s="20" t="n">
        <v>3</v>
      </c>
      <c r="K4" s="20" t="n">
        <v>1</v>
      </c>
      <c r="L4" s="20"/>
      <c r="M4" s="20"/>
      <c r="N4" s="20" t="n">
        <v>1</v>
      </c>
      <c r="O4" s="20" t="n">
        <v>2</v>
      </c>
      <c r="P4" s="20" t="n">
        <v>2</v>
      </c>
      <c r="Q4" s="20" t="n">
        <v>1</v>
      </c>
      <c r="R4" s="20" t="n">
        <v>1</v>
      </c>
      <c r="S4" s="20" t="n">
        <v>5</v>
      </c>
      <c r="T4" s="20" t="s">
        <v>96</v>
      </c>
    </row>
    <row r="5" customFormat="false" ht="15" hidden="false" customHeight="false" outlineLevel="0" collapsed="false">
      <c r="A5" s="20" t="s">
        <v>97</v>
      </c>
      <c r="B5" s="20" t="n">
        <v>1</v>
      </c>
      <c r="C5" s="20" t="n">
        <v>1</v>
      </c>
      <c r="D5" s="20" t="n">
        <v>1</v>
      </c>
      <c r="E5" s="20" t="n">
        <v>3</v>
      </c>
      <c r="F5" s="20" t="n">
        <v>0</v>
      </c>
      <c r="G5" s="20"/>
      <c r="H5" s="20" t="n">
        <v>2</v>
      </c>
      <c r="I5" s="20" t="n">
        <v>1</v>
      </c>
      <c r="J5" s="20" t="n">
        <v>2</v>
      </c>
      <c r="K5" s="20" t="n">
        <v>2</v>
      </c>
      <c r="L5" s="20"/>
      <c r="M5" s="20"/>
      <c r="N5" s="20" t="n">
        <v>1</v>
      </c>
      <c r="O5" s="20" t="n">
        <v>2</v>
      </c>
      <c r="P5" s="20" t="n">
        <v>2</v>
      </c>
      <c r="Q5" s="20" t="n">
        <v>2</v>
      </c>
      <c r="R5" s="20" t="n">
        <v>2</v>
      </c>
      <c r="S5" s="20" t="n">
        <v>5</v>
      </c>
      <c r="T5" s="20" t="s">
        <v>98</v>
      </c>
    </row>
    <row r="6" customFormat="false" ht="15" hidden="false" customHeight="false" outlineLevel="0" collapsed="false">
      <c r="A6" s="20" t="s">
        <v>99</v>
      </c>
      <c r="B6" s="20" t="n">
        <v>2</v>
      </c>
      <c r="C6" s="20" t="n">
        <v>3</v>
      </c>
      <c r="D6" s="20" t="n">
        <v>2</v>
      </c>
      <c r="E6" s="20" t="n">
        <v>3</v>
      </c>
      <c r="F6" s="20" t="n">
        <v>0</v>
      </c>
      <c r="G6" s="20"/>
      <c r="H6" s="20" t="n">
        <v>2</v>
      </c>
      <c r="I6" s="20" t="n">
        <v>2</v>
      </c>
      <c r="J6" s="20" t="n">
        <v>2</v>
      </c>
      <c r="K6" s="20" t="n">
        <v>3</v>
      </c>
      <c r="L6" s="20"/>
      <c r="M6" s="20"/>
      <c r="N6" s="20" t="n">
        <v>1</v>
      </c>
      <c r="O6" s="20" t="n">
        <v>1</v>
      </c>
      <c r="P6" s="20" t="n">
        <v>2</v>
      </c>
      <c r="Q6" s="20" t="n">
        <v>1</v>
      </c>
      <c r="R6" s="20" t="n">
        <v>1</v>
      </c>
      <c r="S6" s="20" t="n">
        <v>7</v>
      </c>
      <c r="T6" s="20" t="s">
        <v>98</v>
      </c>
    </row>
    <row r="7" customFormat="false" ht="15" hidden="false" customHeight="false" outlineLevel="0" collapsed="false">
      <c r="A7" s="20" t="s">
        <v>100</v>
      </c>
      <c r="B7" s="20" t="n">
        <v>2</v>
      </c>
      <c r="C7" s="20" t="n">
        <v>2</v>
      </c>
      <c r="D7" s="20" t="n">
        <v>3</v>
      </c>
      <c r="E7" s="20" t="n">
        <v>3</v>
      </c>
      <c r="F7" s="20" t="n">
        <v>0</v>
      </c>
      <c r="G7" s="20"/>
      <c r="H7" s="20" t="n">
        <v>1</v>
      </c>
      <c r="I7" s="20" t="n">
        <v>1</v>
      </c>
      <c r="J7" s="20" t="n">
        <v>1</v>
      </c>
      <c r="K7" s="20" t="n">
        <v>0</v>
      </c>
      <c r="L7" s="20"/>
      <c r="M7" s="20"/>
      <c r="N7" s="20" t="n">
        <v>2</v>
      </c>
      <c r="O7" s="20" t="n">
        <v>1</v>
      </c>
      <c r="P7" s="20" t="n">
        <v>1</v>
      </c>
      <c r="Q7" s="20" t="n">
        <v>1</v>
      </c>
      <c r="R7" s="20" t="n">
        <v>2</v>
      </c>
      <c r="S7" s="20" t="n">
        <v>7</v>
      </c>
      <c r="T7" s="20" t="s">
        <v>98</v>
      </c>
    </row>
    <row r="8" customFormat="false" ht="15" hidden="false" customHeight="false" outlineLevel="0" collapsed="false">
      <c r="A8" s="20" t="s">
        <v>101</v>
      </c>
      <c r="B8" s="20" t="n">
        <v>3</v>
      </c>
      <c r="C8" s="20" t="n">
        <v>3</v>
      </c>
      <c r="D8" s="20" t="n">
        <v>2</v>
      </c>
      <c r="E8" s="20" t="n">
        <v>3</v>
      </c>
      <c r="F8" s="20" t="n">
        <v>0</v>
      </c>
      <c r="G8" s="20"/>
      <c r="H8" s="20" t="n">
        <v>2</v>
      </c>
      <c r="I8" s="20" t="n">
        <v>2</v>
      </c>
      <c r="J8" s="20" t="n">
        <v>2</v>
      </c>
      <c r="K8" s="20" t="n">
        <v>0</v>
      </c>
      <c r="L8" s="20"/>
      <c r="M8" s="20"/>
      <c r="N8" s="20" t="n">
        <v>2</v>
      </c>
      <c r="O8" s="20" t="n">
        <v>2</v>
      </c>
      <c r="P8" s="20" t="n">
        <v>2</v>
      </c>
      <c r="Q8" s="20" t="n">
        <v>1</v>
      </c>
      <c r="R8" s="20" t="n">
        <v>2</v>
      </c>
      <c r="S8" s="20" t="n">
        <v>7</v>
      </c>
      <c r="T8" s="20" t="s">
        <v>102</v>
      </c>
    </row>
    <row r="9" customFormat="false" ht="15" hidden="false" customHeight="false" outlineLevel="0" collapsed="false">
      <c r="A9" s="20" t="s">
        <v>103</v>
      </c>
      <c r="B9" s="20" t="n">
        <v>3</v>
      </c>
      <c r="C9" s="20" t="n">
        <v>3</v>
      </c>
      <c r="D9" s="20" t="n">
        <v>2</v>
      </c>
      <c r="E9" s="20" t="n">
        <v>4</v>
      </c>
      <c r="F9" s="20" t="n">
        <v>0</v>
      </c>
      <c r="G9" s="20"/>
      <c r="H9" s="20" t="n">
        <v>2</v>
      </c>
      <c r="I9" s="20" t="n">
        <v>1</v>
      </c>
      <c r="J9" s="20" t="n">
        <v>2</v>
      </c>
      <c r="K9" s="20" t="n">
        <v>2</v>
      </c>
      <c r="L9" s="20"/>
      <c r="M9" s="20"/>
      <c r="N9" s="20" t="n">
        <v>1</v>
      </c>
      <c r="O9" s="20" t="n">
        <v>1</v>
      </c>
      <c r="P9" s="20" t="n">
        <v>2</v>
      </c>
      <c r="Q9" s="20" t="n">
        <v>2</v>
      </c>
      <c r="R9" s="20" t="n">
        <v>1</v>
      </c>
      <c r="S9" s="20" t="n">
        <v>7</v>
      </c>
      <c r="T9" s="20" t="s">
        <v>104</v>
      </c>
    </row>
    <row r="10" customFormat="false" ht="15" hidden="false" customHeight="false" outlineLevel="0" collapsed="false">
      <c r="A10" s="20" t="s">
        <v>105</v>
      </c>
      <c r="B10" s="20" t="n">
        <v>1</v>
      </c>
      <c r="C10" s="20" t="n">
        <v>3</v>
      </c>
      <c r="D10" s="20" t="n">
        <v>3</v>
      </c>
      <c r="E10" s="20" t="n">
        <v>4</v>
      </c>
      <c r="F10" s="20" t="n">
        <v>0</v>
      </c>
      <c r="G10" s="20"/>
      <c r="H10" s="20" t="n">
        <v>2</v>
      </c>
      <c r="I10" s="20" t="n">
        <v>1</v>
      </c>
      <c r="J10" s="20" t="n">
        <v>2</v>
      </c>
      <c r="K10" s="20" t="n">
        <v>3</v>
      </c>
      <c r="L10" s="20"/>
      <c r="M10" s="20"/>
      <c r="N10" s="20" t="n">
        <v>2</v>
      </c>
      <c r="O10" s="20" t="n">
        <v>2</v>
      </c>
      <c r="P10" s="20" t="n">
        <v>2</v>
      </c>
      <c r="Q10" s="20" t="n">
        <v>1</v>
      </c>
      <c r="R10" s="20" t="n">
        <v>1</v>
      </c>
      <c r="S10" s="20" t="n">
        <v>7</v>
      </c>
      <c r="T10" s="20" t="s">
        <v>106</v>
      </c>
    </row>
    <row r="11" customFormat="false" ht="15" hidden="false" customHeight="false" outlineLevel="0" collapsed="false">
      <c r="A11" s="20" t="s">
        <v>107</v>
      </c>
      <c r="B11" s="20" t="n">
        <v>1</v>
      </c>
      <c r="C11" s="20" t="n">
        <v>1</v>
      </c>
      <c r="D11" s="20" t="n">
        <v>2</v>
      </c>
      <c r="E11" s="20" t="n">
        <v>4</v>
      </c>
      <c r="F11" s="20" t="n">
        <v>0</v>
      </c>
      <c r="G11" s="20"/>
      <c r="H11" s="20" t="n">
        <v>2</v>
      </c>
      <c r="I11" s="20" t="n">
        <v>1</v>
      </c>
      <c r="J11" s="20" t="n">
        <v>2</v>
      </c>
      <c r="K11" s="20" t="n">
        <v>0</v>
      </c>
      <c r="L11" s="20"/>
      <c r="M11" s="20"/>
      <c r="N11" s="20" t="n">
        <v>1</v>
      </c>
      <c r="O11" s="20" t="n">
        <v>2</v>
      </c>
      <c r="P11" s="20" t="n">
        <v>2</v>
      </c>
      <c r="Q11" s="20" t="n">
        <v>1</v>
      </c>
      <c r="R11" s="20" t="n">
        <v>2</v>
      </c>
      <c r="S11" s="20" t="n">
        <v>4</v>
      </c>
      <c r="T11" s="20" t="s">
        <v>108</v>
      </c>
    </row>
    <row r="12" customFormat="false" ht="15" hidden="false" customHeight="false" outlineLevel="0" collapsed="false">
      <c r="A12" s="20" t="s">
        <v>109</v>
      </c>
      <c r="B12" s="20" t="n">
        <v>5</v>
      </c>
      <c r="C12" s="20" t="n">
        <v>1</v>
      </c>
      <c r="D12" s="20" t="n">
        <v>1</v>
      </c>
      <c r="E12" s="20" t="n">
        <v>3</v>
      </c>
      <c r="F12" s="20" t="n">
        <v>0</v>
      </c>
      <c r="G12" s="20"/>
      <c r="H12" s="20" t="n">
        <v>1</v>
      </c>
      <c r="I12" s="20" t="n">
        <v>1</v>
      </c>
      <c r="J12" s="20" t="n">
        <v>2</v>
      </c>
      <c r="K12" s="20" t="n">
        <v>2</v>
      </c>
      <c r="L12" s="20"/>
      <c r="M12" s="20"/>
      <c r="N12" s="20" t="n">
        <v>2</v>
      </c>
      <c r="O12" s="20" t="n">
        <v>2</v>
      </c>
      <c r="P12" s="20" t="n">
        <v>2</v>
      </c>
      <c r="Q12" s="20" t="n">
        <v>1</v>
      </c>
      <c r="R12" s="20" t="n">
        <v>1</v>
      </c>
      <c r="S12" s="20" t="n">
        <v>7</v>
      </c>
      <c r="T12" s="20" t="s">
        <v>110</v>
      </c>
    </row>
    <row r="13" customFormat="false" ht="15" hidden="false" customHeight="false" outlineLevel="0" collapsed="false">
      <c r="A13" s="20" t="s">
        <v>111</v>
      </c>
      <c r="B13" s="20" t="n">
        <v>2</v>
      </c>
      <c r="C13" s="20" t="n">
        <v>1</v>
      </c>
      <c r="D13" s="20" t="n">
        <v>3</v>
      </c>
      <c r="E13" s="20" t="n">
        <v>3</v>
      </c>
      <c r="F13" s="20" t="n">
        <v>0</v>
      </c>
      <c r="G13" s="20"/>
      <c r="H13" s="20" t="n">
        <v>2</v>
      </c>
      <c r="I13" s="20" t="n">
        <v>2</v>
      </c>
      <c r="J13" s="20" t="n">
        <v>2</v>
      </c>
      <c r="K13" s="20" t="n">
        <v>2</v>
      </c>
      <c r="L13" s="20"/>
      <c r="M13" s="20"/>
      <c r="N13" s="20" t="n">
        <v>2</v>
      </c>
      <c r="O13" s="20" t="n">
        <v>2</v>
      </c>
      <c r="P13" s="20" t="n">
        <v>2</v>
      </c>
      <c r="Q13" s="20" t="n">
        <v>1</v>
      </c>
      <c r="R13" s="20" t="n">
        <v>2</v>
      </c>
      <c r="S13" s="20" t="n">
        <v>5</v>
      </c>
      <c r="T13" s="20" t="s">
        <v>110</v>
      </c>
    </row>
    <row r="18" customFormat="false" ht="15" hidden="false" customHeight="false" outlineLevel="0" collapsed="false">
      <c r="A18" s="6"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11"/>
    <col collapsed="false" customWidth="true" hidden="false" outlineLevel="0" max="4" min="4" style="0" width="15"/>
    <col collapsed="false" customWidth="true" hidden="false" outlineLevel="0" max="5" min="5" style="0" width="28"/>
    <col collapsed="false" customWidth="true" hidden="false" outlineLevel="0" max="6" min="6" style="0" width="8"/>
    <col collapsed="false" customWidth="true" hidden="false" outlineLevel="0" max="7" min="7" style="0" width="12"/>
    <col collapsed="false" customWidth="true" hidden="false" outlineLevel="0" max="8" min="8" style="0" width="22"/>
  </cols>
  <sheetData>
    <row r="1" customFormat="false" ht="31.5" hidden="false" customHeight="true" outlineLevel="0" collapsed="false">
      <c r="A1" s="1" t="s">
        <v>0</v>
      </c>
      <c r="B1" s="1" t="s">
        <v>113</v>
      </c>
      <c r="C1" s="1" t="s">
        <v>114</v>
      </c>
      <c r="D1" s="1" t="s">
        <v>115</v>
      </c>
      <c r="E1" s="1" t="s">
        <v>116</v>
      </c>
      <c r="F1" s="1" t="s">
        <v>117</v>
      </c>
      <c r="G1" s="1" t="s">
        <v>118</v>
      </c>
      <c r="H1" s="1" t="s">
        <v>119</v>
      </c>
    </row>
    <row r="2" customFormat="false" ht="15" hidden="false" customHeight="false" outlineLevel="0" collapsed="false">
      <c r="A2" s="10" t="s">
        <v>91</v>
      </c>
      <c r="B2" s="10" t="n">
        <v>2392</v>
      </c>
      <c r="C2" s="10" t="n">
        <v>698</v>
      </c>
      <c r="D2" s="10" t="n">
        <v>6</v>
      </c>
      <c r="E2" s="21" t="str">
        <f aca="false">IFERROR(INDEX(Options!$C$2:$C$55,MATCH("goal|"&amp;D2,Options!$D$2:$D$55,0)),"Unknown")</f>
        <v>Improve cardio performance</v>
      </c>
      <c r="F2" s="10" t="n">
        <v>1</v>
      </c>
      <c r="G2" s="22" t="str">
        <f aca="false">A2&amp;"|"&amp;F2</f>
        <v>m1|1</v>
      </c>
      <c r="H2" s="21" t="s">
        <v>120</v>
      </c>
    </row>
    <row r="3" customFormat="false" ht="15" hidden="false" customHeight="false" outlineLevel="0" collapsed="false">
      <c r="A3" s="10" t="s">
        <v>91</v>
      </c>
      <c r="B3" s="10" t="n">
        <v>2392</v>
      </c>
      <c r="C3" s="10" t="n">
        <v>699</v>
      </c>
      <c r="D3" s="10" t="n">
        <v>7</v>
      </c>
      <c r="E3" s="21" t="str">
        <f aca="false">IFERROR(INDEX(Options!$C$2:$C$55,MATCH("goal|"&amp;D3,Options!$D$2:$D$55,0)),"Unknown")</f>
        <v>Improve stamina</v>
      </c>
      <c r="F3" s="10" t="n">
        <v>2</v>
      </c>
      <c r="G3" s="22" t="str">
        <f aca="false">A3&amp;"|"&amp;F3</f>
        <v>m1|2</v>
      </c>
      <c r="H3" s="21" t="s">
        <v>120</v>
      </c>
    </row>
    <row r="4" customFormat="false" ht="15" hidden="false" customHeight="false" outlineLevel="0" collapsed="false">
      <c r="A4" s="10" t="s">
        <v>91</v>
      </c>
      <c r="B4" s="10" t="n">
        <v>2392</v>
      </c>
      <c r="C4" s="10" t="n">
        <v>700</v>
      </c>
      <c r="D4" s="10" t="n">
        <v>9</v>
      </c>
      <c r="E4" s="21" t="str">
        <f aca="false">IFERROR(INDEX(Options!$C$2:$C$55,MATCH("goal|"&amp;D4,Options!$D$2:$D$55,0)),"Unknown")</f>
        <v>Improve overall health</v>
      </c>
      <c r="F4" s="10" t="n">
        <v>3</v>
      </c>
      <c r="G4" s="22" t="str">
        <f aca="false">A4&amp;"|"&amp;F4</f>
        <v>m1|3</v>
      </c>
      <c r="H4" s="21" t="s">
        <v>120</v>
      </c>
    </row>
    <row r="5" customFormat="false" ht="15" hidden="false" customHeight="false" outlineLevel="0" collapsed="false">
      <c r="A5" s="10" t="s">
        <v>93</v>
      </c>
      <c r="B5" s="10" t="n">
        <v>2399</v>
      </c>
      <c r="C5" s="10" t="n">
        <v>703</v>
      </c>
      <c r="D5" s="10" t="n">
        <v>1</v>
      </c>
      <c r="E5" s="21" t="str">
        <f aca="false">IFERROR(INDEX(Options!$C$2:$C$55,MATCH("goal|"&amp;D5,Options!$D$2:$D$55,0)),"Unknown")</f>
        <v>Weight loss</v>
      </c>
      <c r="F5" s="10" t="n">
        <v>1</v>
      </c>
      <c r="G5" s="22" t="str">
        <f aca="false">A5&amp;"|"&amp;F5</f>
        <v>m2|1</v>
      </c>
      <c r="H5" s="21" t="s">
        <v>120</v>
      </c>
    </row>
    <row r="6" customFormat="false" ht="15" hidden="false" customHeight="false" outlineLevel="0" collapsed="false">
      <c r="A6" s="10" t="s">
        <v>95</v>
      </c>
      <c r="B6" s="10" t="n">
        <v>2409</v>
      </c>
      <c r="C6" s="10" t="n">
        <v>709</v>
      </c>
      <c r="D6" s="10" t="n">
        <v>3</v>
      </c>
      <c r="E6" s="21" t="str">
        <f aca="false">IFERROR(INDEX(Options!$C$2:$C$55,MATCH("goal|"&amp;D6,Options!$D$2:$D$55,0)),"Unknown")</f>
        <v>Muscle tone</v>
      </c>
      <c r="F6" s="10" t="n">
        <v>1</v>
      </c>
      <c r="G6" s="22" t="str">
        <f aca="false">A6&amp;"|"&amp;F6</f>
        <v>m3|1</v>
      </c>
      <c r="H6" s="21" t="s">
        <v>120</v>
      </c>
    </row>
    <row r="7" customFormat="false" ht="15" hidden="false" customHeight="false" outlineLevel="0" collapsed="false">
      <c r="A7" s="10" t="s">
        <v>95</v>
      </c>
      <c r="B7" s="10" t="n">
        <v>2409</v>
      </c>
      <c r="C7" s="10" t="n">
        <v>710</v>
      </c>
      <c r="D7" s="10" t="n">
        <v>4</v>
      </c>
      <c r="E7" s="21" t="str">
        <f aca="false">IFERROR(INDEX(Options!$C$2:$C$55,MATCH("goal|"&amp;D7,Options!$D$2:$D$55,0)),"Unknown")</f>
        <v>Build strength</v>
      </c>
      <c r="F7" s="10" t="n">
        <v>2</v>
      </c>
      <c r="G7" s="22" t="str">
        <f aca="false">A7&amp;"|"&amp;F7</f>
        <v>m3|2</v>
      </c>
      <c r="H7" s="21" t="s">
        <v>120</v>
      </c>
    </row>
    <row r="8" customFormat="false" ht="15" hidden="false" customHeight="false" outlineLevel="0" collapsed="false">
      <c r="A8" s="10" t="s">
        <v>95</v>
      </c>
      <c r="B8" s="10" t="n">
        <v>2409</v>
      </c>
      <c r="C8" s="10" t="n">
        <v>711</v>
      </c>
      <c r="D8" s="10" t="n">
        <v>7</v>
      </c>
      <c r="E8" s="21" t="str">
        <f aca="false">IFERROR(INDEX(Options!$C$2:$C$55,MATCH("goal|"&amp;D8,Options!$D$2:$D$55,0)),"Unknown")</f>
        <v>Improve stamina</v>
      </c>
      <c r="F8" s="10" t="n">
        <v>3</v>
      </c>
      <c r="G8" s="22" t="str">
        <f aca="false">A8&amp;"|"&amp;F8</f>
        <v>m3|3</v>
      </c>
      <c r="H8" s="21" t="s">
        <v>120</v>
      </c>
    </row>
    <row r="9" customFormat="false" ht="15" hidden="false" customHeight="false" outlineLevel="0" collapsed="false">
      <c r="A9" s="10" t="s">
        <v>95</v>
      </c>
      <c r="B9" s="10" t="n">
        <v>2409</v>
      </c>
      <c r="C9" s="10" t="n">
        <v>712</v>
      </c>
      <c r="D9" s="10" t="n">
        <v>6</v>
      </c>
      <c r="E9" s="21" t="str">
        <f aca="false">IFERROR(INDEX(Options!$C$2:$C$55,MATCH("goal|"&amp;D9,Options!$D$2:$D$55,0)),"Unknown")</f>
        <v>Improve cardio performance</v>
      </c>
      <c r="F9" s="10" t="n">
        <v>4</v>
      </c>
      <c r="G9" s="22" t="str">
        <f aca="false">A9&amp;"|"&amp;F9</f>
        <v>m3|4</v>
      </c>
      <c r="H9" s="21" t="s">
        <v>120</v>
      </c>
    </row>
    <row r="10" customFormat="false" ht="15" hidden="false" customHeight="false" outlineLevel="0" collapsed="false">
      <c r="A10" s="10" t="s">
        <v>95</v>
      </c>
      <c r="B10" s="10" t="n">
        <v>2409</v>
      </c>
      <c r="C10" s="10" t="n">
        <v>713</v>
      </c>
      <c r="D10" s="10" t="n">
        <v>5</v>
      </c>
      <c r="E10" s="21" t="str">
        <f aca="false">IFERROR(INDEX(Options!$C$2:$C$55,MATCH("goal|"&amp;D10,Options!$D$2:$D$55,0)),"Unknown")</f>
        <v>Improve flexibility</v>
      </c>
      <c r="F10" s="10" t="n">
        <v>5</v>
      </c>
      <c r="G10" s="22" t="str">
        <f aca="false">A10&amp;"|"&amp;F10</f>
        <v>m3|5</v>
      </c>
      <c r="H10" s="21" t="s">
        <v>120</v>
      </c>
    </row>
    <row r="11" customFormat="false" ht="15" hidden="false" customHeight="false" outlineLevel="0" collapsed="false">
      <c r="A11" s="10" t="s">
        <v>97</v>
      </c>
      <c r="B11" s="10" t="n">
        <v>2432</v>
      </c>
      <c r="C11" s="10" t="n">
        <v>721</v>
      </c>
      <c r="D11" s="10" t="n">
        <v>1</v>
      </c>
      <c r="E11" s="21" t="str">
        <f aca="false">IFERROR(INDEX(Options!$C$2:$C$55,MATCH("goal|"&amp;D11,Options!$D$2:$D$55,0)),"Unknown")</f>
        <v>Weight loss</v>
      </c>
      <c r="F11" s="10" t="n">
        <v>1</v>
      </c>
      <c r="G11" s="22" t="str">
        <f aca="false">A11&amp;"|"&amp;F11</f>
        <v>m4|1</v>
      </c>
      <c r="H11" s="21" t="s">
        <v>120</v>
      </c>
    </row>
    <row r="12" customFormat="false" ht="15" hidden="false" customHeight="false" outlineLevel="0" collapsed="false">
      <c r="A12" s="10" t="s">
        <v>97</v>
      </c>
      <c r="B12" s="10" t="n">
        <v>2432</v>
      </c>
      <c r="C12" s="10" t="n">
        <v>722</v>
      </c>
      <c r="D12" s="10" t="n">
        <v>3</v>
      </c>
      <c r="E12" s="21" t="str">
        <f aca="false">IFERROR(INDEX(Options!$C$2:$C$55,MATCH("goal|"&amp;D12,Options!$D$2:$D$55,0)),"Unknown")</f>
        <v>Muscle tone</v>
      </c>
      <c r="F12" s="10" t="n">
        <v>2</v>
      </c>
      <c r="G12" s="22" t="str">
        <f aca="false">A12&amp;"|"&amp;F12</f>
        <v>m4|2</v>
      </c>
      <c r="H12" s="21" t="s">
        <v>120</v>
      </c>
    </row>
    <row r="13" customFormat="false" ht="15" hidden="false" customHeight="false" outlineLevel="0" collapsed="false">
      <c r="A13" s="10" t="s">
        <v>97</v>
      </c>
      <c r="B13" s="10" t="n">
        <v>2432</v>
      </c>
      <c r="C13" s="10" t="n">
        <v>723</v>
      </c>
      <c r="D13" s="10" t="n">
        <v>9</v>
      </c>
      <c r="E13" s="21" t="str">
        <f aca="false">IFERROR(INDEX(Options!$C$2:$C$55,MATCH("goal|"&amp;D13,Options!$D$2:$D$55,0)),"Unknown")</f>
        <v>Improve overall health</v>
      </c>
      <c r="F13" s="10" t="n">
        <v>3</v>
      </c>
      <c r="G13" s="22" t="str">
        <f aca="false">A13&amp;"|"&amp;F13</f>
        <v>m4|3</v>
      </c>
      <c r="H13" s="21" t="s">
        <v>120</v>
      </c>
    </row>
    <row r="14" customFormat="false" ht="15" hidden="false" customHeight="false" outlineLevel="0" collapsed="false">
      <c r="A14" s="10" t="s">
        <v>99</v>
      </c>
      <c r="B14" s="10" t="n">
        <v>2433</v>
      </c>
      <c r="C14" s="10" t="n">
        <v>724</v>
      </c>
      <c r="D14" s="10" t="n">
        <v>4</v>
      </c>
      <c r="E14" s="21" t="str">
        <f aca="false">IFERROR(INDEX(Options!$C$2:$C$55,MATCH("goal|"&amp;D14,Options!$D$2:$D$55,0)),"Unknown")</f>
        <v>Build strength</v>
      </c>
      <c r="F14" s="10" t="n">
        <v>1</v>
      </c>
      <c r="G14" s="22" t="str">
        <f aca="false">A14&amp;"|"&amp;F14</f>
        <v>m5|1</v>
      </c>
      <c r="H14" s="21" t="s">
        <v>120</v>
      </c>
    </row>
    <row r="15" customFormat="false" ht="15" hidden="false" customHeight="false" outlineLevel="0" collapsed="false">
      <c r="A15" s="10" t="s">
        <v>99</v>
      </c>
      <c r="B15" s="10" t="n">
        <v>2433</v>
      </c>
      <c r="C15" s="10" t="n">
        <v>725</v>
      </c>
      <c r="D15" s="10" t="n">
        <v>8</v>
      </c>
      <c r="E15" s="21" t="str">
        <f aca="false">IFERROR(INDEX(Options!$C$2:$C$55,MATCH("goal|"&amp;D15,Options!$D$2:$D$55,0)),"Unknown")</f>
        <v>Gain weight/muscle</v>
      </c>
      <c r="F15" s="10" t="n">
        <v>2</v>
      </c>
      <c r="G15" s="22" t="str">
        <f aca="false">A15&amp;"|"&amp;F15</f>
        <v>m5|2</v>
      </c>
      <c r="H15" s="21" t="s">
        <v>120</v>
      </c>
    </row>
    <row r="16" customFormat="false" ht="15" hidden="false" customHeight="false" outlineLevel="0" collapsed="false">
      <c r="A16" s="10" t="s">
        <v>100</v>
      </c>
      <c r="B16" s="10" t="n">
        <v>2437</v>
      </c>
      <c r="C16" s="10" t="n">
        <v>726</v>
      </c>
      <c r="D16" s="10" t="n">
        <v>3</v>
      </c>
      <c r="E16" s="21" t="str">
        <f aca="false">IFERROR(INDEX(Options!$C$2:$C$55,MATCH("goal|"&amp;D16,Options!$D$2:$D$55,0)),"Unknown")</f>
        <v>Muscle tone</v>
      </c>
      <c r="F16" s="10" t="n">
        <v>1</v>
      </c>
      <c r="G16" s="22" t="str">
        <f aca="false">A16&amp;"|"&amp;F16</f>
        <v>m6|1</v>
      </c>
      <c r="H16" s="21" t="s">
        <v>120</v>
      </c>
    </row>
    <row r="17" customFormat="false" ht="15" hidden="false" customHeight="false" outlineLevel="0" collapsed="false">
      <c r="A17" s="10" t="s">
        <v>100</v>
      </c>
      <c r="B17" s="10" t="n">
        <v>2437</v>
      </c>
      <c r="C17" s="10" t="n">
        <v>727</v>
      </c>
      <c r="D17" s="10" t="n">
        <v>2</v>
      </c>
      <c r="E17" s="21" t="str">
        <f aca="false">IFERROR(INDEX(Options!$C$2:$C$55,MATCH("goal|"&amp;D17,Options!$D$2:$D$55,0)),"Unknown")</f>
        <v>Lose fat (inches)</v>
      </c>
      <c r="F17" s="10" t="n">
        <v>2</v>
      </c>
      <c r="G17" s="22" t="str">
        <f aca="false">A17&amp;"|"&amp;F17</f>
        <v>m6|2</v>
      </c>
      <c r="H17" s="21" t="s">
        <v>120</v>
      </c>
    </row>
    <row r="18" customFormat="false" ht="15" hidden="false" customHeight="false" outlineLevel="0" collapsed="false">
      <c r="A18" s="10" t="s">
        <v>101</v>
      </c>
      <c r="B18" s="10" t="n">
        <v>2438</v>
      </c>
      <c r="C18" s="10" t="n">
        <v>728</v>
      </c>
      <c r="D18" s="10" t="n">
        <v>1</v>
      </c>
      <c r="E18" s="21" t="str">
        <f aca="false">IFERROR(INDEX(Options!$C$2:$C$55,MATCH("goal|"&amp;D18,Options!$D$2:$D$55,0)),"Unknown")</f>
        <v>Weight loss</v>
      </c>
      <c r="F18" s="10" t="n">
        <v>1</v>
      </c>
      <c r="G18" s="22" t="str">
        <f aca="false">A18&amp;"|"&amp;F18</f>
        <v>m7|1</v>
      </c>
      <c r="H18" s="21" t="s">
        <v>120</v>
      </c>
    </row>
    <row r="19" customFormat="false" ht="15" hidden="false" customHeight="false" outlineLevel="0" collapsed="false">
      <c r="A19" s="10" t="s">
        <v>103</v>
      </c>
      <c r="B19" s="10" t="n">
        <v>2451</v>
      </c>
      <c r="C19" s="10" t="n">
        <v>738</v>
      </c>
      <c r="D19" s="10" t="n">
        <v>1</v>
      </c>
      <c r="E19" s="21" t="str">
        <f aca="false">IFERROR(INDEX(Options!$C$2:$C$55,MATCH("goal|"&amp;D19,Options!$D$2:$D$55,0)),"Unknown")</f>
        <v>Weight loss</v>
      </c>
      <c r="F19" s="10" t="n">
        <v>1</v>
      </c>
      <c r="G19" s="22" t="str">
        <f aca="false">A19&amp;"|"&amp;F19</f>
        <v>m8|1</v>
      </c>
      <c r="H19" s="21" t="s">
        <v>120</v>
      </c>
    </row>
    <row r="20" customFormat="false" ht="15" hidden="false" customHeight="false" outlineLevel="0" collapsed="false">
      <c r="A20" s="10" t="s">
        <v>103</v>
      </c>
      <c r="B20" s="10" t="n">
        <v>2451</v>
      </c>
      <c r="C20" s="10" t="n">
        <v>739</v>
      </c>
      <c r="D20" s="10" t="n">
        <v>2</v>
      </c>
      <c r="E20" s="21" t="str">
        <f aca="false">IFERROR(INDEX(Options!$C$2:$C$55,MATCH("goal|"&amp;D20,Options!$D$2:$D$55,0)),"Unknown")</f>
        <v>Lose fat (inches)</v>
      </c>
      <c r="F20" s="10" t="n">
        <v>2</v>
      </c>
      <c r="G20" s="22" t="str">
        <f aca="false">A20&amp;"|"&amp;F20</f>
        <v>m8|2</v>
      </c>
      <c r="H20" s="21" t="s">
        <v>120</v>
      </c>
    </row>
    <row r="21" customFormat="false" ht="15" hidden="false" customHeight="false" outlineLevel="0" collapsed="false">
      <c r="A21" s="10" t="s">
        <v>103</v>
      </c>
      <c r="B21" s="10" t="n">
        <v>2451</v>
      </c>
      <c r="C21" s="10" t="n">
        <v>740</v>
      </c>
      <c r="D21" s="10" t="n">
        <v>3</v>
      </c>
      <c r="E21" s="21" t="str">
        <f aca="false">IFERROR(INDEX(Options!$C$2:$C$55,MATCH("goal|"&amp;D21,Options!$D$2:$D$55,0)),"Unknown")</f>
        <v>Muscle tone</v>
      </c>
      <c r="F21" s="10" t="n">
        <v>3</v>
      </c>
      <c r="G21" s="22" t="str">
        <f aca="false">A21&amp;"|"&amp;F21</f>
        <v>m8|3</v>
      </c>
      <c r="H21" s="21" t="s">
        <v>120</v>
      </c>
    </row>
    <row r="22" customFormat="false" ht="15" hidden="false" customHeight="false" outlineLevel="0" collapsed="false">
      <c r="A22" s="10" t="s">
        <v>103</v>
      </c>
      <c r="B22" s="10" t="n">
        <v>2451</v>
      </c>
      <c r="C22" s="10" t="n">
        <v>741</v>
      </c>
      <c r="D22" s="10" t="n">
        <v>5</v>
      </c>
      <c r="E22" s="21" t="str">
        <f aca="false">IFERROR(INDEX(Options!$C$2:$C$55,MATCH("goal|"&amp;D22,Options!$D$2:$D$55,0)),"Unknown")</f>
        <v>Improve flexibility</v>
      </c>
      <c r="F22" s="10" t="n">
        <v>4</v>
      </c>
      <c r="G22" s="22" t="str">
        <f aca="false">A22&amp;"|"&amp;F22</f>
        <v>m8|4</v>
      </c>
      <c r="H22" s="21" t="s">
        <v>120</v>
      </c>
    </row>
    <row r="23" customFormat="false" ht="15" hidden="false" customHeight="false" outlineLevel="0" collapsed="false">
      <c r="A23" s="10" t="s">
        <v>103</v>
      </c>
      <c r="B23" s="10" t="n">
        <v>2451</v>
      </c>
      <c r="C23" s="10" t="n">
        <v>742</v>
      </c>
      <c r="D23" s="10" t="n">
        <v>6</v>
      </c>
      <c r="E23" s="21" t="str">
        <f aca="false">IFERROR(INDEX(Options!$C$2:$C$55,MATCH("goal|"&amp;D23,Options!$D$2:$D$55,0)),"Unknown")</f>
        <v>Improve cardio performance</v>
      </c>
      <c r="F23" s="10" t="n">
        <v>5</v>
      </c>
      <c r="G23" s="22" t="str">
        <f aca="false">A23&amp;"|"&amp;F23</f>
        <v>m8|5</v>
      </c>
      <c r="H23" s="21" t="s">
        <v>120</v>
      </c>
    </row>
    <row r="24" customFormat="false" ht="15" hidden="false" customHeight="false" outlineLevel="0" collapsed="false">
      <c r="A24" s="10" t="s">
        <v>103</v>
      </c>
      <c r="B24" s="10" t="n">
        <v>2451</v>
      </c>
      <c r="C24" s="10" t="n">
        <v>743</v>
      </c>
      <c r="D24" s="10" t="n">
        <v>7</v>
      </c>
      <c r="E24" s="21" t="str">
        <f aca="false">IFERROR(INDEX(Options!$C$2:$C$55,MATCH("goal|"&amp;D24,Options!$D$2:$D$55,0)),"Unknown")</f>
        <v>Improve stamina</v>
      </c>
      <c r="F24" s="10" t="n">
        <v>6</v>
      </c>
      <c r="G24" s="22" t="str">
        <f aca="false">A24&amp;"|"&amp;F24</f>
        <v>m8|6</v>
      </c>
      <c r="H24" s="21" t="s">
        <v>120</v>
      </c>
    </row>
    <row r="25" customFormat="false" ht="15" hidden="false" customHeight="false" outlineLevel="0" collapsed="false">
      <c r="A25" s="10" t="s">
        <v>103</v>
      </c>
      <c r="B25" s="10" t="n">
        <v>2451</v>
      </c>
      <c r="C25" s="10" t="n">
        <v>744</v>
      </c>
      <c r="D25" s="10" t="n">
        <v>9</v>
      </c>
      <c r="E25" s="21" t="str">
        <f aca="false">IFERROR(INDEX(Options!$C$2:$C$55,MATCH("goal|"&amp;D25,Options!$D$2:$D$55,0)),"Unknown")</f>
        <v>Improve overall health</v>
      </c>
      <c r="F25" s="10" t="n">
        <v>7</v>
      </c>
      <c r="G25" s="22" t="str">
        <f aca="false">A25&amp;"|"&amp;F25</f>
        <v>m8|7</v>
      </c>
      <c r="H25" s="21" t="s">
        <v>120</v>
      </c>
    </row>
    <row r="26" customFormat="false" ht="15" hidden="false" customHeight="false" outlineLevel="0" collapsed="false">
      <c r="A26" s="10" t="s">
        <v>103</v>
      </c>
      <c r="B26" s="10" t="n">
        <v>2451</v>
      </c>
      <c r="C26" s="10" t="n">
        <v>745</v>
      </c>
      <c r="D26" s="10" t="n">
        <v>10</v>
      </c>
      <c r="E26" s="21" t="str">
        <f aca="false">IFERROR(INDEX(Options!$C$2:$C$55,MATCH("goal|"&amp;D26,Options!$D$2:$D$55,0)),"Unknown")</f>
        <v>Boost energy</v>
      </c>
      <c r="F26" s="10" t="n">
        <v>8</v>
      </c>
      <c r="G26" s="22" t="str">
        <f aca="false">A26&amp;"|"&amp;F26</f>
        <v>m8|8</v>
      </c>
      <c r="H26" s="21" t="s">
        <v>120</v>
      </c>
    </row>
    <row r="28" customFormat="false" ht="15" hidden="false" customHeight="false" outlineLevel="0" collapsed="false">
      <c r="A28" s="6" t="s">
        <v>121</v>
      </c>
    </row>
    <row r="29" customFormat="false" ht="15" hidden="false" customHeight="false" outlineLevel="0" collapsed="false">
      <c r="A29" s="6" t="s">
        <v>122</v>
      </c>
    </row>
    <row r="30" customFormat="false" ht="15" hidden="false" customHeight="false" outlineLevel="0" collapsed="false">
      <c r="A30" s="11" t="s">
        <v>123</v>
      </c>
    </row>
    <row r="31" customFormat="false" ht="15" hidden="false" customHeight="false" outlineLevel="0" collapsed="false">
      <c r="A31" s="6" t="s">
        <v>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
    <col collapsed="false" customWidth="true" hidden="false" outlineLevel="0" max="3" min="3" style="0" width="26"/>
    <col collapsed="false" customWidth="true" hidden="false" outlineLevel="0" max="4" min="4" style="0" width="22"/>
  </cols>
  <sheetData>
    <row r="1" customFormat="false" ht="15" hidden="false" customHeight="false" outlineLevel="0" collapsed="false">
      <c r="A1" s="1" t="s">
        <v>125</v>
      </c>
      <c r="B1" s="1" t="s">
        <v>126</v>
      </c>
      <c r="C1" s="1" t="s">
        <v>127</v>
      </c>
      <c r="D1" s="1" t="s">
        <v>118</v>
      </c>
    </row>
    <row r="2" customFormat="false" ht="15" hidden="false" customHeight="false" outlineLevel="0" collapsed="false">
      <c r="A2" s="20" t="s">
        <v>128</v>
      </c>
      <c r="B2" s="20" t="n">
        <v>1</v>
      </c>
      <c r="C2" s="20" t="s">
        <v>129</v>
      </c>
      <c r="D2" s="23" t="str">
        <f aca="false">A2&amp;"|"&amp;B2</f>
        <v>goal|1</v>
      </c>
    </row>
    <row r="3" customFormat="false" ht="15" hidden="false" customHeight="false" outlineLevel="0" collapsed="false">
      <c r="A3" s="20" t="s">
        <v>128</v>
      </c>
      <c r="B3" s="20" t="n">
        <v>2</v>
      </c>
      <c r="C3" s="20" t="s">
        <v>130</v>
      </c>
      <c r="D3" s="23" t="str">
        <f aca="false">A3&amp;"|"&amp;B3</f>
        <v>goal|2</v>
      </c>
    </row>
    <row r="4" customFormat="false" ht="15" hidden="false" customHeight="false" outlineLevel="0" collapsed="false">
      <c r="A4" s="20" t="s">
        <v>128</v>
      </c>
      <c r="B4" s="20" t="n">
        <v>3</v>
      </c>
      <c r="C4" s="20" t="s">
        <v>131</v>
      </c>
      <c r="D4" s="23" t="str">
        <f aca="false">A4&amp;"|"&amp;B4</f>
        <v>goal|3</v>
      </c>
    </row>
    <row r="5" customFormat="false" ht="15" hidden="false" customHeight="false" outlineLevel="0" collapsed="false">
      <c r="A5" s="20" t="s">
        <v>128</v>
      </c>
      <c r="B5" s="20" t="n">
        <v>4</v>
      </c>
      <c r="C5" s="20" t="s">
        <v>132</v>
      </c>
      <c r="D5" s="23" t="str">
        <f aca="false">A5&amp;"|"&amp;B5</f>
        <v>goal|4</v>
      </c>
    </row>
    <row r="6" customFormat="false" ht="15" hidden="false" customHeight="false" outlineLevel="0" collapsed="false">
      <c r="A6" s="20" t="s">
        <v>128</v>
      </c>
      <c r="B6" s="20" t="n">
        <v>5</v>
      </c>
      <c r="C6" s="20" t="s">
        <v>133</v>
      </c>
      <c r="D6" s="23" t="str">
        <f aca="false">A6&amp;"|"&amp;B6</f>
        <v>goal|5</v>
      </c>
    </row>
    <row r="7" customFormat="false" ht="15" hidden="false" customHeight="false" outlineLevel="0" collapsed="false">
      <c r="A7" s="20" t="s">
        <v>128</v>
      </c>
      <c r="B7" s="20" t="n">
        <v>6</v>
      </c>
      <c r="C7" s="20" t="s">
        <v>134</v>
      </c>
      <c r="D7" s="23" t="str">
        <f aca="false">A7&amp;"|"&amp;B7</f>
        <v>goal|6</v>
      </c>
    </row>
    <row r="8" customFormat="false" ht="15" hidden="false" customHeight="false" outlineLevel="0" collapsed="false">
      <c r="A8" s="20" t="s">
        <v>128</v>
      </c>
      <c r="B8" s="20" t="n">
        <v>7</v>
      </c>
      <c r="C8" s="20" t="s">
        <v>135</v>
      </c>
      <c r="D8" s="23" t="str">
        <f aca="false">A8&amp;"|"&amp;B8</f>
        <v>goal|7</v>
      </c>
    </row>
    <row r="9" customFormat="false" ht="15" hidden="false" customHeight="false" outlineLevel="0" collapsed="false">
      <c r="A9" s="20" t="s">
        <v>128</v>
      </c>
      <c r="B9" s="20" t="n">
        <v>8</v>
      </c>
      <c r="C9" s="20" t="s">
        <v>136</v>
      </c>
      <c r="D9" s="23" t="str">
        <f aca="false">A9&amp;"|"&amp;B9</f>
        <v>goal|8</v>
      </c>
    </row>
    <row r="10" customFormat="false" ht="15" hidden="false" customHeight="false" outlineLevel="0" collapsed="false">
      <c r="A10" s="20" t="s">
        <v>128</v>
      </c>
      <c r="B10" s="20" t="n">
        <v>9</v>
      </c>
      <c r="C10" s="20" t="s">
        <v>137</v>
      </c>
      <c r="D10" s="23" t="str">
        <f aca="false">A10&amp;"|"&amp;B10</f>
        <v>goal|9</v>
      </c>
    </row>
    <row r="11" customFormat="false" ht="15" hidden="false" customHeight="false" outlineLevel="0" collapsed="false">
      <c r="A11" s="20" t="s">
        <v>128</v>
      </c>
      <c r="B11" s="20" t="n">
        <v>10</v>
      </c>
      <c r="C11" s="20" t="s">
        <v>138</v>
      </c>
      <c r="D11" s="23" t="str">
        <f aca="false">A11&amp;"|"&amp;B11</f>
        <v>goal|10</v>
      </c>
    </row>
    <row r="12" customFormat="false" ht="15" hidden="false" customHeight="false" outlineLevel="0" collapsed="false">
      <c r="A12" s="20" t="s">
        <v>139</v>
      </c>
      <c r="B12" s="20" t="n">
        <v>1</v>
      </c>
      <c r="C12" s="20" t="s">
        <v>140</v>
      </c>
      <c r="D12" s="23" t="str">
        <f aca="false">A12&amp;"|"&amp;B12</f>
        <v>freq|1</v>
      </c>
    </row>
    <row r="13" customFormat="false" ht="15" hidden="false" customHeight="false" outlineLevel="0" collapsed="false">
      <c r="A13" s="20" t="s">
        <v>139</v>
      </c>
      <c r="B13" s="20" t="n">
        <v>2</v>
      </c>
      <c r="C13" s="20" t="s">
        <v>141</v>
      </c>
      <c r="D13" s="23" t="str">
        <f aca="false">A13&amp;"|"&amp;B13</f>
        <v>freq|2</v>
      </c>
    </row>
    <row r="14" customFormat="false" ht="15" hidden="false" customHeight="false" outlineLevel="0" collapsed="false">
      <c r="A14" s="20" t="s">
        <v>139</v>
      </c>
      <c r="B14" s="20" t="n">
        <v>3</v>
      </c>
      <c r="C14" s="20" t="s">
        <v>142</v>
      </c>
      <c r="D14" s="23" t="str">
        <f aca="false">A14&amp;"|"&amp;B14</f>
        <v>freq|3</v>
      </c>
    </row>
    <row r="15" customFormat="false" ht="15" hidden="false" customHeight="false" outlineLevel="0" collapsed="false">
      <c r="A15" s="20" t="s">
        <v>139</v>
      </c>
      <c r="B15" s="20" t="n">
        <v>4</v>
      </c>
      <c r="C15" s="20" t="s">
        <v>143</v>
      </c>
      <c r="D15" s="23" t="str">
        <f aca="false">A15&amp;"|"&amp;B15</f>
        <v>freq|4</v>
      </c>
    </row>
    <row r="16" customFormat="false" ht="15" hidden="false" customHeight="false" outlineLevel="0" collapsed="false">
      <c r="A16" s="20" t="s">
        <v>139</v>
      </c>
      <c r="B16" s="20" t="n">
        <v>5</v>
      </c>
      <c r="C16" s="20" t="s">
        <v>144</v>
      </c>
      <c r="D16" s="23" t="str">
        <f aca="false">A16&amp;"|"&amp;B16</f>
        <v>freq|5</v>
      </c>
    </row>
    <row r="17" customFormat="false" ht="15" hidden="false" customHeight="false" outlineLevel="0" collapsed="false">
      <c r="A17" s="20" t="s">
        <v>145</v>
      </c>
      <c r="B17" s="20" t="n">
        <v>1</v>
      </c>
      <c r="C17" s="20" t="s">
        <v>146</v>
      </c>
      <c r="D17" s="23" t="str">
        <f aca="false">A17&amp;"|"&amp;B17</f>
        <v>time|1</v>
      </c>
    </row>
    <row r="18" customFormat="false" ht="15" hidden="false" customHeight="false" outlineLevel="0" collapsed="false">
      <c r="A18" s="20" t="s">
        <v>145</v>
      </c>
      <c r="B18" s="20" t="n">
        <v>2</v>
      </c>
      <c r="C18" s="20" t="s">
        <v>147</v>
      </c>
      <c r="D18" s="23" t="str">
        <f aca="false">A18&amp;"|"&amp;B18</f>
        <v>time|2</v>
      </c>
    </row>
    <row r="19" customFormat="false" ht="15" hidden="false" customHeight="false" outlineLevel="0" collapsed="false">
      <c r="A19" s="20" t="s">
        <v>145</v>
      </c>
      <c r="B19" s="20" t="n">
        <v>3</v>
      </c>
      <c r="C19" s="20" t="s">
        <v>148</v>
      </c>
      <c r="D19" s="23" t="str">
        <f aca="false">A19&amp;"|"&amp;B19</f>
        <v>time|3</v>
      </c>
    </row>
    <row r="20" customFormat="false" ht="15" hidden="false" customHeight="false" outlineLevel="0" collapsed="false">
      <c r="A20" s="20" t="s">
        <v>149</v>
      </c>
      <c r="B20" s="20" t="n">
        <v>1</v>
      </c>
      <c r="C20" s="20" t="s">
        <v>150</v>
      </c>
      <c r="D20" s="23" t="str">
        <f aca="false">A20&amp;"|"&amp;B20</f>
        <v>smoke|1</v>
      </c>
    </row>
    <row r="21" customFormat="false" ht="15" hidden="false" customHeight="false" outlineLevel="0" collapsed="false">
      <c r="A21" s="20" t="s">
        <v>149</v>
      </c>
      <c r="B21" s="20" t="n">
        <v>2</v>
      </c>
      <c r="C21" s="20" t="s">
        <v>151</v>
      </c>
      <c r="D21" s="23" t="str">
        <f aca="false">A21&amp;"|"&amp;B21</f>
        <v>smoke|2</v>
      </c>
    </row>
    <row r="22" customFormat="false" ht="15" hidden="false" customHeight="false" outlineLevel="0" collapsed="false">
      <c r="A22" s="20" t="s">
        <v>149</v>
      </c>
      <c r="B22" s="20" t="n">
        <v>3</v>
      </c>
      <c r="C22" s="20" t="s">
        <v>152</v>
      </c>
      <c r="D22" s="23" t="str">
        <f aca="false">A22&amp;"|"&amp;B22</f>
        <v>smoke|3</v>
      </c>
    </row>
    <row r="23" customFormat="false" ht="15" hidden="false" customHeight="false" outlineLevel="0" collapsed="false">
      <c r="A23" s="20" t="s">
        <v>153</v>
      </c>
      <c r="B23" s="20" t="n">
        <v>1</v>
      </c>
      <c r="C23" s="20" t="s">
        <v>143</v>
      </c>
      <c r="D23" s="23" t="str">
        <f aca="false">A23&amp;"|"&amp;B23</f>
        <v>alcohol|1</v>
      </c>
    </row>
    <row r="24" customFormat="false" ht="15" hidden="false" customHeight="false" outlineLevel="0" collapsed="false">
      <c r="A24" s="20" t="s">
        <v>153</v>
      </c>
      <c r="B24" s="20" t="n">
        <v>2</v>
      </c>
      <c r="C24" s="20" t="s">
        <v>154</v>
      </c>
      <c r="D24" s="23" t="str">
        <f aca="false">A24&amp;"|"&amp;B24</f>
        <v>alcohol|2</v>
      </c>
    </row>
    <row r="25" customFormat="false" ht="15" hidden="false" customHeight="false" outlineLevel="0" collapsed="false">
      <c r="A25" s="20" t="s">
        <v>153</v>
      </c>
      <c r="B25" s="20" t="n">
        <v>3</v>
      </c>
      <c r="C25" s="20" t="s">
        <v>155</v>
      </c>
      <c r="D25" s="23" t="str">
        <f aca="false">A25&amp;"|"&amp;B25</f>
        <v>alcohol|3</v>
      </c>
    </row>
    <row r="26" customFormat="false" ht="15" hidden="false" customHeight="false" outlineLevel="0" collapsed="false">
      <c r="A26" s="20" t="s">
        <v>153</v>
      </c>
      <c r="B26" s="20" t="n">
        <v>4</v>
      </c>
      <c r="C26" s="20" t="s">
        <v>144</v>
      </c>
      <c r="D26" s="23" t="str">
        <f aca="false">A26&amp;"|"&amp;B26</f>
        <v>alcohol|4</v>
      </c>
    </row>
    <row r="27" customFormat="false" ht="15" hidden="false" customHeight="false" outlineLevel="0" collapsed="false">
      <c r="A27" s="20" t="s">
        <v>156</v>
      </c>
      <c r="B27" s="20" t="n">
        <v>1</v>
      </c>
      <c r="C27" s="20" t="s">
        <v>157</v>
      </c>
      <c r="D27" s="23" t="str">
        <f aca="false">A27&amp;"|"&amp;B27</f>
        <v>work|1</v>
      </c>
    </row>
    <row r="28" customFormat="false" ht="15" hidden="false" customHeight="false" outlineLevel="0" collapsed="false">
      <c r="A28" s="20" t="s">
        <v>156</v>
      </c>
      <c r="B28" s="20" t="n">
        <v>2</v>
      </c>
      <c r="C28" s="20" t="s">
        <v>158</v>
      </c>
      <c r="D28" s="23" t="str">
        <f aca="false">A28&amp;"|"&amp;B28</f>
        <v>work|2</v>
      </c>
    </row>
    <row r="29" customFormat="false" ht="15" hidden="false" customHeight="false" outlineLevel="0" collapsed="false">
      <c r="A29" s="20" t="s">
        <v>156</v>
      </c>
      <c r="B29" s="20" t="n">
        <v>3</v>
      </c>
      <c r="C29" s="20" t="s">
        <v>159</v>
      </c>
      <c r="D29" s="23" t="str">
        <f aca="false">A29&amp;"|"&amp;B29</f>
        <v>work|3</v>
      </c>
    </row>
    <row r="30" customFormat="false" ht="15" hidden="false" customHeight="false" outlineLevel="0" collapsed="false">
      <c r="A30" s="20" t="s">
        <v>156</v>
      </c>
      <c r="B30" s="20" t="n">
        <v>4</v>
      </c>
      <c r="C30" s="20" t="s">
        <v>160</v>
      </c>
      <c r="D30" s="23" t="str">
        <f aca="false">A30&amp;"|"&amp;B30</f>
        <v>work|4</v>
      </c>
    </row>
    <row r="31" customFormat="false" ht="15" hidden="false" customHeight="false" outlineLevel="0" collapsed="false">
      <c r="A31" s="20" t="s">
        <v>161</v>
      </c>
      <c r="B31" s="20" t="n">
        <v>1</v>
      </c>
      <c r="C31" s="20" t="s">
        <v>162</v>
      </c>
      <c r="D31" s="23" t="str">
        <f aca="false">A31&amp;"|"&amp;B31</f>
        <v>stress|1</v>
      </c>
    </row>
    <row r="32" customFormat="false" ht="15" hidden="false" customHeight="false" outlineLevel="0" collapsed="false">
      <c r="A32" s="20" t="s">
        <v>161</v>
      </c>
      <c r="B32" s="20" t="n">
        <v>2</v>
      </c>
      <c r="C32" s="20" t="s">
        <v>163</v>
      </c>
      <c r="D32" s="23" t="str">
        <f aca="false">A32&amp;"|"&amp;B32</f>
        <v>stress|2</v>
      </c>
    </row>
    <row r="33" customFormat="false" ht="15" hidden="false" customHeight="false" outlineLevel="0" collapsed="false">
      <c r="A33" s="20" t="s">
        <v>161</v>
      </c>
      <c r="B33" s="20" t="n">
        <v>3</v>
      </c>
      <c r="C33" s="20" t="s">
        <v>164</v>
      </c>
      <c r="D33" s="23" t="str">
        <f aca="false">A33&amp;"|"&amp;B33</f>
        <v>stress|3</v>
      </c>
    </row>
    <row r="34" customFormat="false" ht="15" hidden="false" customHeight="false" outlineLevel="0" collapsed="false">
      <c r="A34" s="20" t="s">
        <v>165</v>
      </c>
      <c r="B34" s="20" t="n">
        <v>1</v>
      </c>
      <c r="C34" s="20" t="s">
        <v>166</v>
      </c>
      <c r="D34" s="23" t="str">
        <f aca="false">A34&amp;"|"&amp;B34</f>
        <v>sleep|1</v>
      </c>
    </row>
    <row r="35" customFormat="false" ht="15" hidden="false" customHeight="false" outlineLevel="0" collapsed="false">
      <c r="A35" s="20" t="s">
        <v>165</v>
      </c>
      <c r="B35" s="20" t="n">
        <v>2</v>
      </c>
      <c r="C35" s="20" t="s">
        <v>167</v>
      </c>
      <c r="D35" s="23" t="str">
        <f aca="false">A35&amp;"|"&amp;B35</f>
        <v>sleep|2</v>
      </c>
    </row>
    <row r="36" customFormat="false" ht="15" hidden="false" customHeight="false" outlineLevel="0" collapsed="false">
      <c r="A36" s="20" t="s">
        <v>168</v>
      </c>
      <c r="B36" s="20" t="n">
        <v>1</v>
      </c>
      <c r="C36" s="20" t="s">
        <v>169</v>
      </c>
      <c r="D36" s="23" t="str">
        <f aca="false">A36&amp;"|"&amp;B36</f>
        <v>diet|1</v>
      </c>
    </row>
    <row r="37" customFormat="false" ht="15" hidden="false" customHeight="false" outlineLevel="0" collapsed="false">
      <c r="A37" s="20" t="s">
        <v>168</v>
      </c>
      <c r="B37" s="20" t="n">
        <v>2</v>
      </c>
      <c r="C37" s="20" t="s">
        <v>170</v>
      </c>
      <c r="D37" s="23" t="str">
        <f aca="false">A37&amp;"|"&amp;B37</f>
        <v>diet|2</v>
      </c>
    </row>
    <row r="38" customFormat="false" ht="15" hidden="false" customHeight="false" outlineLevel="0" collapsed="false">
      <c r="A38" s="20" t="s">
        <v>168</v>
      </c>
      <c r="B38" s="20" t="n">
        <v>3</v>
      </c>
      <c r="C38" s="20" t="s">
        <v>171</v>
      </c>
      <c r="D38" s="23" t="str">
        <f aca="false">A38&amp;"|"&amp;B38</f>
        <v>diet|3</v>
      </c>
    </row>
    <row r="39" customFormat="false" ht="15" hidden="false" customHeight="false" outlineLevel="0" collapsed="false">
      <c r="A39" s="20" t="s">
        <v>172</v>
      </c>
      <c r="B39" s="20" t="n">
        <v>1</v>
      </c>
      <c r="C39" s="20" t="s">
        <v>173</v>
      </c>
      <c r="D39" s="23" t="str">
        <f aca="false">A39&amp;"|"&amp;B39</f>
        <v>home|1</v>
      </c>
    </row>
    <row r="40" customFormat="false" ht="15" hidden="false" customHeight="false" outlineLevel="0" collapsed="false">
      <c r="A40" s="20" t="s">
        <v>172</v>
      </c>
      <c r="B40" s="20" t="n">
        <v>2</v>
      </c>
      <c r="C40" s="20" t="s">
        <v>174</v>
      </c>
      <c r="D40" s="23" t="str">
        <f aca="false">A40&amp;"|"&amp;B40</f>
        <v>home|2</v>
      </c>
    </row>
    <row r="41" customFormat="false" ht="15" hidden="false" customHeight="false" outlineLevel="0" collapsed="false">
      <c r="A41" s="20" t="s">
        <v>172</v>
      </c>
      <c r="B41" s="20" t="n">
        <v>3</v>
      </c>
      <c r="C41" s="20" t="s">
        <v>175</v>
      </c>
      <c r="D41" s="23" t="str">
        <f aca="false">A41&amp;"|"&amp;B41</f>
        <v>home|3</v>
      </c>
    </row>
    <row r="42" customFormat="false" ht="15" hidden="false" customHeight="false" outlineLevel="0" collapsed="false">
      <c r="A42" s="20" t="s">
        <v>172</v>
      </c>
      <c r="B42" s="20" t="n">
        <v>4</v>
      </c>
      <c r="C42" s="20" t="s">
        <v>176</v>
      </c>
      <c r="D42" s="23" t="str">
        <f aca="false">A42&amp;"|"&amp;B42</f>
        <v>home|4</v>
      </c>
    </row>
    <row r="43" customFormat="false" ht="15" hidden="false" customHeight="false" outlineLevel="0" collapsed="false">
      <c r="A43" s="20" t="s">
        <v>177</v>
      </c>
      <c r="B43" s="20" t="n">
        <v>1</v>
      </c>
      <c r="C43" s="20" t="s">
        <v>143</v>
      </c>
      <c r="D43" s="23" t="str">
        <f aca="false">A43&amp;"|"&amp;B43</f>
        <v>takeout|1</v>
      </c>
    </row>
    <row r="44" customFormat="false" ht="15" hidden="false" customHeight="false" outlineLevel="0" collapsed="false">
      <c r="A44" s="20" t="s">
        <v>177</v>
      </c>
      <c r="B44" s="20" t="n">
        <v>2</v>
      </c>
      <c r="C44" s="20" t="s">
        <v>178</v>
      </c>
      <c r="D44" s="23" t="str">
        <f aca="false">A44&amp;"|"&amp;B44</f>
        <v>takeout|2</v>
      </c>
    </row>
    <row r="45" customFormat="false" ht="15" hidden="false" customHeight="false" outlineLevel="0" collapsed="false">
      <c r="A45" s="20" t="s">
        <v>177</v>
      </c>
      <c r="B45" s="20" t="n">
        <v>3</v>
      </c>
      <c r="C45" s="20" t="s">
        <v>179</v>
      </c>
      <c r="D45" s="23" t="str">
        <f aca="false">A45&amp;"|"&amp;B45</f>
        <v>takeout|3</v>
      </c>
    </row>
    <row r="46" customFormat="false" ht="15" hidden="false" customHeight="false" outlineLevel="0" collapsed="false">
      <c r="A46" s="20" t="s">
        <v>177</v>
      </c>
      <c r="B46" s="20" t="n">
        <v>4</v>
      </c>
      <c r="C46" s="20" t="s">
        <v>144</v>
      </c>
      <c r="D46" s="23" t="str">
        <f aca="false">A46&amp;"|"&amp;B46</f>
        <v>takeout|4</v>
      </c>
    </row>
    <row r="47" customFormat="false" ht="15" hidden="false" customHeight="false" outlineLevel="0" collapsed="false">
      <c r="A47" s="20" t="s">
        <v>180</v>
      </c>
      <c r="B47" s="20" t="n">
        <v>1</v>
      </c>
      <c r="C47" s="20" t="s">
        <v>150</v>
      </c>
      <c r="D47" s="23" t="str">
        <f aca="false">A47&amp;"|"&amp;B47</f>
        <v>yesno|1</v>
      </c>
    </row>
    <row r="48" customFormat="false" ht="15" hidden="false" customHeight="false" outlineLevel="0" collapsed="false">
      <c r="A48" s="20" t="s">
        <v>180</v>
      </c>
      <c r="B48" s="20" t="n">
        <v>2</v>
      </c>
      <c r="C48" s="20" t="s">
        <v>151</v>
      </c>
      <c r="D48" s="23" t="str">
        <f aca="false">A48&amp;"|"&amp;B48</f>
        <v>yesno|2</v>
      </c>
    </row>
    <row r="49" customFormat="false" ht="15" hidden="false" customHeight="false" outlineLevel="0" collapsed="false">
      <c r="A49" s="20" t="s">
        <v>181</v>
      </c>
      <c r="B49" s="20" t="n">
        <v>1</v>
      </c>
      <c r="C49" s="20" t="s">
        <v>182</v>
      </c>
      <c r="D49" s="23" t="str">
        <f aca="false">A49&amp;"|"&amp;B49</f>
        <v>seriousness|1</v>
      </c>
    </row>
    <row r="50" customFormat="false" ht="15" hidden="false" customHeight="false" outlineLevel="0" collapsed="false">
      <c r="A50" s="20" t="s">
        <v>181</v>
      </c>
      <c r="B50" s="20" t="n">
        <v>2</v>
      </c>
      <c r="C50" s="20" t="s">
        <v>183</v>
      </c>
      <c r="D50" s="23" t="str">
        <f aca="false">A50&amp;"|"&amp;B50</f>
        <v>seriousness|2</v>
      </c>
    </row>
    <row r="51" customFormat="false" ht="15" hidden="false" customHeight="false" outlineLevel="0" collapsed="false">
      <c r="A51" s="20" t="s">
        <v>181</v>
      </c>
      <c r="B51" s="20" t="n">
        <v>3</v>
      </c>
      <c r="C51" s="20" t="s">
        <v>184</v>
      </c>
      <c r="D51" s="23" t="str">
        <f aca="false">A51&amp;"|"&amp;B51</f>
        <v>seriousness|3</v>
      </c>
    </row>
    <row r="52" customFormat="false" ht="15" hidden="false" customHeight="false" outlineLevel="0" collapsed="false">
      <c r="A52" s="20" t="s">
        <v>181</v>
      </c>
      <c r="B52" s="20" t="n">
        <v>4</v>
      </c>
      <c r="C52" s="20" t="s">
        <v>185</v>
      </c>
      <c r="D52" s="23" t="str">
        <f aca="false">A52&amp;"|"&amp;B52</f>
        <v>seriousness|4</v>
      </c>
    </row>
    <row r="53" customFormat="false" ht="15" hidden="false" customHeight="false" outlineLevel="0" collapsed="false">
      <c r="A53" s="20" t="s">
        <v>181</v>
      </c>
      <c r="B53" s="20" t="n">
        <v>5</v>
      </c>
      <c r="C53" s="20" t="s">
        <v>186</v>
      </c>
      <c r="D53" s="23" t="str">
        <f aca="false">A53&amp;"|"&amp;B53</f>
        <v>seriousness|5</v>
      </c>
    </row>
    <row r="54" customFormat="false" ht="15" hidden="false" customHeight="false" outlineLevel="0" collapsed="false">
      <c r="A54" s="20" t="s">
        <v>181</v>
      </c>
      <c r="B54" s="20" t="n">
        <v>6</v>
      </c>
      <c r="C54" s="20" t="s">
        <v>187</v>
      </c>
      <c r="D54" s="23" t="str">
        <f aca="false">A54&amp;"|"&amp;B54</f>
        <v>seriousness|6</v>
      </c>
    </row>
    <row r="55" customFormat="false" ht="15" hidden="false" customHeight="false" outlineLevel="0" collapsed="false">
      <c r="A55" s="20" t="s">
        <v>181</v>
      </c>
      <c r="B55" s="20" t="n">
        <v>7</v>
      </c>
      <c r="C55" s="20" t="s">
        <v>188</v>
      </c>
      <c r="D55" s="23" t="str">
        <f aca="false">A55&amp;"|"&amp;B55</f>
        <v>seriousness|7</v>
      </c>
    </row>
    <row r="57" customFormat="false" ht="15" hidden="false" customHeight="false" outlineLevel="0" collapsed="false">
      <c r="A57" s="6" t="s">
        <v>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18"/>
    <col collapsed="false" customWidth="true" hidden="false" outlineLevel="0" max="5" min="5" style="0" width="22"/>
  </cols>
  <sheetData>
    <row r="1" customFormat="false" ht="15" hidden="false" customHeight="false" outlineLevel="0" collapsed="false">
      <c r="A1" s="1" t="s">
        <v>0</v>
      </c>
      <c r="B1" s="1" t="s">
        <v>113</v>
      </c>
      <c r="C1" s="1" t="s">
        <v>190</v>
      </c>
      <c r="D1" s="1" t="s">
        <v>191</v>
      </c>
      <c r="E1" s="1" t="s">
        <v>21</v>
      </c>
    </row>
    <row r="2" customFormat="false" ht="15" hidden="false" customHeight="false" outlineLevel="0" collapsed="false">
      <c r="A2" s="20" t="s">
        <v>91</v>
      </c>
      <c r="B2" s="20" t="n">
        <v>2392</v>
      </c>
      <c r="C2" s="20" t="s">
        <v>192</v>
      </c>
      <c r="D2" s="20" t="s">
        <v>193</v>
      </c>
      <c r="E2" s="20" t="s">
        <v>92</v>
      </c>
    </row>
    <row r="3" customFormat="false" ht="15" hidden="false" customHeight="false" outlineLevel="0" collapsed="false">
      <c r="A3" s="20" t="s">
        <v>93</v>
      </c>
      <c r="B3" s="20" t="n">
        <v>2399</v>
      </c>
      <c r="C3" s="20" t="s">
        <v>194</v>
      </c>
      <c r="D3" s="20" t="s">
        <v>195</v>
      </c>
      <c r="E3" s="20" t="s">
        <v>94</v>
      </c>
    </row>
    <row r="4" customFormat="false" ht="15" hidden="false" customHeight="false" outlineLevel="0" collapsed="false">
      <c r="A4" s="20" t="s">
        <v>95</v>
      </c>
      <c r="B4" s="20" t="n">
        <v>2409</v>
      </c>
      <c r="C4" s="20" t="s">
        <v>196</v>
      </c>
      <c r="D4" s="20" t="s">
        <v>197</v>
      </c>
      <c r="E4" s="20" t="s">
        <v>96</v>
      </c>
    </row>
    <row r="5" customFormat="false" ht="15" hidden="false" customHeight="false" outlineLevel="0" collapsed="false">
      <c r="A5" s="20" t="s">
        <v>97</v>
      </c>
      <c r="B5" s="20" t="n">
        <v>2432</v>
      </c>
      <c r="C5" s="20" t="s">
        <v>198</v>
      </c>
      <c r="D5" s="20" t="s">
        <v>199</v>
      </c>
      <c r="E5" s="20" t="s">
        <v>98</v>
      </c>
    </row>
    <row r="6" customFormat="false" ht="15" hidden="false" customHeight="false" outlineLevel="0" collapsed="false">
      <c r="A6" s="20" t="s">
        <v>99</v>
      </c>
      <c r="B6" s="20" t="n">
        <v>2433</v>
      </c>
      <c r="C6" s="20" t="s">
        <v>200</v>
      </c>
      <c r="D6" s="20" t="s">
        <v>201</v>
      </c>
      <c r="E6" s="20" t="s">
        <v>98</v>
      </c>
    </row>
    <row r="7" customFormat="false" ht="15" hidden="false" customHeight="false" outlineLevel="0" collapsed="false">
      <c r="A7" s="20" t="s">
        <v>100</v>
      </c>
      <c r="B7" s="20" t="n">
        <v>2437</v>
      </c>
      <c r="C7" s="20" t="s">
        <v>202</v>
      </c>
      <c r="D7" s="20" t="s">
        <v>203</v>
      </c>
      <c r="E7" s="20" t="s">
        <v>98</v>
      </c>
    </row>
    <row r="8" customFormat="false" ht="15" hidden="false" customHeight="false" outlineLevel="0" collapsed="false">
      <c r="A8" s="20" t="s">
        <v>101</v>
      </c>
      <c r="B8" s="20" t="n">
        <v>2438</v>
      </c>
      <c r="C8" s="20" t="s">
        <v>204</v>
      </c>
      <c r="D8" s="20" t="s">
        <v>205</v>
      </c>
      <c r="E8" s="20" t="s">
        <v>102</v>
      </c>
    </row>
    <row r="9" customFormat="false" ht="15" hidden="false" customHeight="false" outlineLevel="0" collapsed="false">
      <c r="A9" s="20" t="s">
        <v>103</v>
      </c>
      <c r="B9" s="20" t="n">
        <v>2451</v>
      </c>
      <c r="C9" s="20" t="s">
        <v>206</v>
      </c>
      <c r="D9" s="20" t="s">
        <v>207</v>
      </c>
      <c r="E9" s="20" t="s">
        <v>104</v>
      </c>
    </row>
    <row r="10" customFormat="false" ht="15" hidden="false" customHeight="false" outlineLevel="0" collapsed="false">
      <c r="A10" s="20" t="s">
        <v>105</v>
      </c>
      <c r="B10" s="20" t="n">
        <v>2461</v>
      </c>
      <c r="C10" s="20" t="s">
        <v>208</v>
      </c>
      <c r="D10" s="20" t="s">
        <v>209</v>
      </c>
      <c r="E10" s="20" t="s">
        <v>106</v>
      </c>
    </row>
    <row r="11" customFormat="false" ht="15" hidden="false" customHeight="false" outlineLevel="0" collapsed="false">
      <c r="A11" s="20" t="s">
        <v>107</v>
      </c>
      <c r="B11" s="20" t="n">
        <v>2469</v>
      </c>
      <c r="C11" s="20" t="s">
        <v>210</v>
      </c>
      <c r="D11" s="20" t="s">
        <v>211</v>
      </c>
      <c r="E11" s="20" t="s">
        <v>108</v>
      </c>
    </row>
    <row r="12" customFormat="false" ht="15" hidden="false" customHeight="false" outlineLevel="0" collapsed="false">
      <c r="A12" s="20" t="s">
        <v>109</v>
      </c>
      <c r="B12" s="20" t="n">
        <v>2472</v>
      </c>
      <c r="C12" s="20" t="s">
        <v>212</v>
      </c>
      <c r="D12" s="20" t="s">
        <v>213</v>
      </c>
      <c r="E12" s="20" t="s">
        <v>110</v>
      </c>
    </row>
    <row r="13" customFormat="false" ht="15" hidden="false" customHeight="false" outlineLevel="0" collapsed="false">
      <c r="A13" s="20" t="s">
        <v>111</v>
      </c>
      <c r="B13" s="20" t="n">
        <v>2473</v>
      </c>
      <c r="C13" s="20" t="s">
        <v>214</v>
      </c>
      <c r="D13" s="20" t="s">
        <v>215</v>
      </c>
      <c r="E13" s="20" t="s">
        <v>110</v>
      </c>
    </row>
    <row r="18" customFormat="false" ht="15" hidden="false" customHeight="false" outlineLevel="0" collapsed="false">
      <c r="A18" s="6"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2026-10-09T10:10:09Z</dcterms:created>
  <dc:creator>openpyxl</dc:creator>
  <dc:description/>
  <dc:language>en-US</dc:language>
  <cp:lastModifiedBy/>
  <dcterms:modified xsi:type="dcterms:W3CDTF">2026-10-09T10:10:09Z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